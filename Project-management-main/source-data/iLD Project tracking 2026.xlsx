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ildcoffee.sharepoint.com/sites/ild/Shared Documents/General/6. Operations/OP_Private/01. Leadership/08. OPERATIONAL EXCELLENCE/07. Workshop/"/>
    </mc:Choice>
  </mc:AlternateContent>
  <xr:revisionPtr revIDLastSave="4390" documentId="8_{4B2B0901-23E7-477A-BB1D-620B987256CB}" xr6:coauthVersionLast="47" xr6:coauthVersionMax="47" xr10:uidLastSave="{A8AFBBC2-9C3F-4148-9BC0-0ADADCB27836}"/>
  <bookViews>
    <workbookView xWindow="20370" yWindow="-120" windowWidth="29040" windowHeight="15840" activeTab="2" xr2:uid="{7B907D12-3AD6-4E2B-BA52-D9072F44B117}"/>
  </bookViews>
  <sheets>
    <sheet name="Agenda Sharing" sheetId="4" r:id="rId1"/>
    <sheet name="Factory Project " sheetId="1" r:id="rId2"/>
    <sheet name="MoM" sheetId="3" r:id="rId3"/>
    <sheet name="Summary" sheetId="2" r:id="rId4"/>
    <sheet name="Sheet1" sheetId="5" r:id="rId5"/>
  </sheets>
  <definedNames>
    <definedName name="_xlnm._FilterDatabase" localSheetId="1" hidden="1">'Factory Project '!$A$2:$AZ$56</definedName>
    <definedName name="_xlnm._FilterDatabase" localSheetId="2" hidden="1">MoM!$A$2:$I$71</definedName>
    <definedName name="_xlnm.Print_Area" localSheetId="1">'Factory Project '!$A$1:$S$21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5" l="1"/>
  <c r="O4" i="5"/>
  <c r="N4" i="5"/>
  <c r="B16" i="5" l="1"/>
  <c r="D16" i="5" s="1"/>
  <c r="D7" i="5"/>
  <c r="D10" i="5"/>
  <c r="D13" i="5"/>
  <c r="D4" i="5"/>
  <c r="K10" i="5" l="1"/>
  <c r="K4" i="5"/>
  <c r="G15" i="5"/>
  <c r="F15" i="5"/>
  <c r="G14" i="5"/>
  <c r="F14" i="5" s="1"/>
  <c r="G13" i="5"/>
  <c r="F13" i="5"/>
  <c r="G12" i="5"/>
  <c r="F12" i="5" s="1"/>
  <c r="G11" i="5"/>
  <c r="F11" i="5"/>
  <c r="F5" i="5"/>
  <c r="G5" i="5" s="1"/>
  <c r="F6" i="5"/>
  <c r="G6" i="5" s="1"/>
  <c r="F7" i="5"/>
  <c r="G7" i="5" s="1"/>
  <c r="F8" i="5"/>
  <c r="G8" i="5" s="1"/>
  <c r="F9" i="5"/>
  <c r="G9" i="5" s="1"/>
  <c r="F10" i="5"/>
  <c r="G10" i="5" s="1"/>
  <c r="J10" i="5" s="1"/>
  <c r="G4" i="5"/>
  <c r="H7" i="5"/>
  <c r="H10" i="5"/>
  <c r="H13" i="5"/>
  <c r="H4" i="5"/>
  <c r="C16" i="5"/>
  <c r="E16" i="5"/>
  <c r="M4" i="5" l="1"/>
  <c r="L10" i="5"/>
  <c r="M10" i="5"/>
  <c r="J7" i="5"/>
  <c r="J13" i="5"/>
  <c r="J4" i="5"/>
  <c r="I13" i="5"/>
  <c r="I7" i="5"/>
  <c r="I10" i="5"/>
  <c r="L11" i="2" l="1"/>
  <c r="F21" i="2" l="1"/>
  <c r="F22" i="2"/>
  <c r="F23" i="2"/>
  <c r="F24" i="2"/>
  <c r="F25" i="2"/>
  <c r="F26" i="2"/>
  <c r="F20" i="2"/>
  <c r="L10" i="2" l="1"/>
  <c r="G5" i="2" l="1"/>
  <c r="L9" i="2" l="1"/>
  <c r="L8" i="2" l="1"/>
  <c r="D27" i="2" l="1"/>
  <c r="F27" i="2" s="1"/>
  <c r="C27" i="2"/>
  <c r="E21" i="2"/>
  <c r="E22" i="2"/>
  <c r="E23" i="2"/>
  <c r="E24" i="2"/>
  <c r="E25" i="2"/>
  <c r="E26" i="2"/>
  <c r="E20" i="2"/>
  <c r="E27" i="2" l="1"/>
  <c r="M8" i="2" l="1"/>
  <c r="M9" i="2"/>
  <c r="M10" i="2"/>
  <c r="M11" i="2"/>
  <c r="M12" i="2"/>
  <c r="M13" i="2"/>
  <c r="M14" i="2"/>
  <c r="M15" i="2"/>
  <c r="M16" i="2"/>
  <c r="K17" i="2" l="1"/>
  <c r="J17" i="2"/>
  <c r="L6" i="2"/>
  <c r="M6" i="2" s="1"/>
  <c r="L7" i="2"/>
  <c r="M7" i="2" s="1"/>
  <c r="L5" i="2"/>
  <c r="M5" i="2" s="1"/>
  <c r="M17" i="2" l="1"/>
  <c r="L17" i="2"/>
  <c r="AX24" i="1" l="1"/>
  <c r="AX20" i="1"/>
  <c r="AX19" i="1"/>
  <c r="AX11" i="1"/>
  <c r="AX8" i="1"/>
  <c r="AX12" i="1"/>
  <c r="AX5" i="1"/>
  <c r="AX14" i="1"/>
  <c r="AX7" i="1"/>
  <c r="AX6" i="1"/>
  <c r="AX3" i="1"/>
  <c r="C9" i="4" l="1"/>
  <c r="D5" i="2" l="1"/>
  <c r="E5" i="2"/>
  <c r="F5" i="2"/>
  <c r="C5" i="2"/>
  <c r="AW17" i="1" l="1"/>
  <c r="AW19" i="1"/>
  <c r="AW8" i="1"/>
  <c r="AW6" i="1"/>
  <c r="AW9" i="1"/>
  <c r="AW7" i="1"/>
  <c r="AW4" i="1"/>
  <c r="AW3" i="1"/>
  <c r="G16" i="5" l="1"/>
  <c r="F4" i="5"/>
  <c r="F16" i="5" l="1"/>
  <c r="L4" i="5"/>
  <c r="I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Hai Le</author>
    <author>Nam Tran</author>
  </authors>
  <commentList>
    <comment ref="F6" authorId="0" shapeId="0" xr:uid="{026C0863-8220-4F82-B797-052067A135F2}">
      <text>
        <r>
          <rPr>
            <b/>
            <sz val="9"/>
            <color indexed="81"/>
            <rFont val="Tahoma"/>
            <family val="2"/>
          </rPr>
          <t>Hai Le:</t>
        </r>
        <r>
          <rPr>
            <sz val="9"/>
            <color indexed="81"/>
            <rFont val="Tahoma"/>
            <family val="2"/>
          </rPr>
          <t xml:space="preserve">
</t>
        </r>
      </text>
    </comment>
    <comment ref="Q16" authorId="1" shapeId="0" xr:uid="{2F763A22-F895-4FC2-9CB6-7641F984F952}">
      <text>
        <r>
          <rPr>
            <sz val="11"/>
            <color theme="1"/>
            <rFont val="Aptos Narrow"/>
            <family val="2"/>
            <scheme val="minor"/>
          </rPr>
          <t>Nam Tran:
Done 15/6/2026, duy trì tracking đánh giá tiêu thụ city water/MTFD trước và sau modify</t>
        </r>
      </text>
    </comment>
    <comment ref="Q21" authorId="1" shapeId="0" xr:uid="{7A10CC12-5857-47DE-8620-B5E0EAC5AC3E}">
      <text>
        <r>
          <rPr>
            <sz val="11"/>
            <color theme="1"/>
            <rFont val="Aptos Narrow"/>
            <family val="2"/>
            <scheme val="minor"/>
          </rPr>
          <t>Nam Tran:
Done 15/6/2026, duy trì tracking đánh giá tiêu thụ city water/MTFD trước và sau modify</t>
        </r>
      </text>
    </comment>
    <comment ref="Q26" authorId="1" shapeId="0" xr:uid="{EF212686-DD16-4B88-AF2B-DFFABD1D705A}">
      <text>
        <r>
          <rPr>
            <sz val="11"/>
            <color theme="1"/>
            <rFont val="Aptos Narrow"/>
            <family val="2"/>
            <scheme val="minor"/>
          </rPr>
          <t>Nam Tran:
Đã gửi anh HOÀNG CSD cho boiler/bimomass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Duy Pham</author>
  </authors>
  <commentList>
    <comment ref="D20" authorId="0" shapeId="0" xr:uid="{1C15914C-CFEC-4FDD-A3FA-A5542477C8A4}">
      <text>
        <r>
          <rPr>
            <b/>
            <sz val="9"/>
            <color indexed="81"/>
            <rFont val="Tahoma"/>
            <family val="2"/>
          </rPr>
          <t>Duy Pham:</t>
        </r>
        <r>
          <rPr>
            <sz val="9"/>
            <color indexed="81"/>
            <rFont val="Tahoma"/>
            <family val="2"/>
          </rPr>
          <t xml:space="preserve">
1.Increase FD Capaciy
2.Reduce RW generation
3.Reduce EPL
4.Installing a new tank to collect wastewater from Extraction CIP (Utility) </t>
        </r>
      </text>
    </comment>
    <comment ref="D21" authorId="0" shapeId="0" xr:uid="{56C5A9F1-D5B3-4DD6-B745-CA731D9EFD50}">
      <text>
        <r>
          <rPr>
            <b/>
            <sz val="9"/>
            <color indexed="81"/>
            <rFont val="Tahoma"/>
            <family val="2"/>
          </rPr>
          <t>Duy Pham:</t>
        </r>
        <r>
          <rPr>
            <sz val="9"/>
            <color indexed="81"/>
            <rFont val="Tahoma"/>
            <family val="2"/>
          </rPr>
          <t xml:space="preserve">
1.Reduce manufacturing loss
2.Change makeup water for Boiler from RO to soft water
3.Install solar system
4.Install electrical pump to replace current pump
Makeup water for boiler on condensate tank (befor dosing at deairator tank)
5.Separate LP &amp; HP condensate water of boiler
6.Zero steam water was leaked to drained sewage (storm water)
7. Re-use condensate water from process
8.Utilize local manpower instead of hiring experts
9.Saving RO reject to RAW water tank</t>
        </r>
      </text>
    </comment>
    <comment ref="D24" authorId="0" shapeId="0" xr:uid="{B6E28DEA-E43B-4045-A230-1EAA23012FB2}">
      <text>
        <r>
          <rPr>
            <b/>
            <sz val="9"/>
            <color indexed="81"/>
            <rFont val="Tahoma"/>
            <family val="2"/>
          </rPr>
          <t>Duy Pham:</t>
        </r>
        <r>
          <rPr>
            <sz val="9"/>
            <color indexed="81"/>
            <rFont val="Tahoma"/>
            <family val="2"/>
          </rPr>
          <t xml:space="preserve">
1. Q line mapping - Micro
2. Q line mapping - FB</t>
        </r>
      </text>
    </comment>
    <comment ref="D25" authorId="0" shapeId="0" xr:uid="{F9EF80C2-00C8-49C0-BD1A-6ACA7163B225}">
      <text>
        <r>
          <rPr>
            <b/>
            <sz val="9"/>
            <color indexed="81"/>
            <rFont val="Tahoma"/>
            <family val="2"/>
          </rPr>
          <t>Duy Pham:</t>
        </r>
        <r>
          <rPr>
            <sz val="9"/>
            <color indexed="81"/>
            <rFont val="Tahoma"/>
            <family val="2"/>
          </rPr>
          <t xml:space="preserve">
1. Apply CSD from Boiler
2. 100% flanges are covered at 2nd floor</t>
        </r>
      </text>
    </comment>
    <comment ref="D26" authorId="0" shapeId="0" xr:uid="{DEB9A2B7-B8F2-497B-8A1D-E343DE1EA400}">
      <text>
        <r>
          <rPr>
            <b/>
            <sz val="9"/>
            <color indexed="81"/>
            <rFont val="Tahoma"/>
            <family val="2"/>
          </rPr>
          <t>Duy Pham:</t>
        </r>
        <r>
          <rPr>
            <sz val="9"/>
            <color indexed="81"/>
            <rFont val="Tahoma"/>
            <family val="2"/>
          </rPr>
          <t xml:space="preserve">
1.Standardize report mapping LDC</t>
        </r>
      </text>
    </comment>
  </commentList>
</comments>
</file>

<file path=xl/sharedStrings.xml><?xml version="1.0" encoding="utf-8"?>
<sst xmlns="http://schemas.openxmlformats.org/spreadsheetml/2006/main" count="1779" uniqueCount="439">
  <si>
    <t xml:space="preserve">SHARING AGENDA </t>
  </si>
  <si>
    <t>No</t>
  </si>
  <si>
    <t>STEPS</t>
  </si>
  <si>
    <t>DURATION (mins)</t>
  </si>
  <si>
    <t>Overview of Project</t>
  </si>
  <si>
    <t>Key activities</t>
  </si>
  <si>
    <t>Project implementation progress</t>
  </si>
  <si>
    <t>Project Achievement/Results (up to now)</t>
  </si>
  <si>
    <t>Get support if needed</t>
  </si>
  <si>
    <t>Next steps</t>
  </si>
  <si>
    <t>2026-PROJECT TRACKING</t>
  </si>
  <si>
    <t>MONTHLY TRACKING</t>
  </si>
  <si>
    <t>Q1</t>
  </si>
  <si>
    <t>Q2</t>
  </si>
  <si>
    <t>Q3</t>
  </si>
  <si>
    <t>Q4</t>
  </si>
  <si>
    <t>FY 2026</t>
  </si>
  <si>
    <t>KEY DRIVER</t>
  </si>
  <si>
    <t>FACTORY TARGET</t>
  </si>
  <si>
    <t>TARGET</t>
  </si>
  <si>
    <t>PROJECT NAME</t>
  </si>
  <si>
    <t>KEY ACTIVITY</t>
  </si>
  <si>
    <t>LEADER</t>
  </si>
  <si>
    <t>DEPT</t>
  </si>
  <si>
    <t>KEY PARTNER
SUPPORTER</t>
  </si>
  <si>
    <t>TEAM MEMBER</t>
  </si>
  <si>
    <t>COST SAVING (Yes/No)</t>
  </si>
  <si>
    <t>COST INVESTMENT
(Yes/No)</t>
  </si>
  <si>
    <t>PROJECT CHARTER (Yes/No)</t>
  </si>
  <si>
    <t>PROJECT CHARTER COMPLETED</t>
  </si>
  <si>
    <t>TARGET 2026</t>
  </si>
  <si>
    <t>TIMING</t>
  </si>
  <si>
    <t>STATUS</t>
  </si>
  <si>
    <t>COACH</t>
  </si>
  <si>
    <t>SPONSER</t>
  </si>
  <si>
    <t xml:space="preserve"> TRACKING
PRIORITY</t>
  </si>
  <si>
    <t>Jan</t>
  </si>
  <si>
    <t>Feb</t>
  </si>
  <si>
    <t>Mar</t>
  </si>
  <si>
    <t>Apr</t>
  </si>
  <si>
    <t>May</t>
  </si>
  <si>
    <t>Jun</t>
  </si>
  <si>
    <t>Jul</t>
  </si>
  <si>
    <t>Aug</t>
  </si>
  <si>
    <t>Sep</t>
  </si>
  <si>
    <t>Oct</t>
  </si>
  <si>
    <t>Nov</t>
  </si>
  <si>
    <t>Dec</t>
  </si>
  <si>
    <t>INITIAL VOLUME SAVING (tons)</t>
  </si>
  <si>
    <t>ACTUAL VOLUME SAVING (tons)</t>
  </si>
  <si>
    <t>INITIAL COST SAVING (USD)</t>
  </si>
  <si>
    <t>ACTUAL COST SAVING (USD)</t>
  </si>
  <si>
    <t>INITIAL VOLUME SAVING</t>
  </si>
  <si>
    <t>INITIAL COST SAVING</t>
  </si>
  <si>
    <t>ACTUAL COST SAVING</t>
  </si>
  <si>
    <t>OUTPUT</t>
  </si>
  <si>
    <t>Volume 
(tons FD)</t>
  </si>
  <si>
    <t>Sustain speed of FD at 750 kg/h</t>
  </si>
  <si>
    <r>
      <t>Increase TS = 49%</t>
    </r>
    <r>
      <rPr>
        <sz val="10"/>
        <color rgb="FF00B050"/>
        <rFont val="Aptos Narrow"/>
        <family val="2"/>
        <scheme val="minor"/>
      </rPr>
      <t xml:space="preserve"> (Done)</t>
    </r>
    <r>
      <rPr>
        <sz val="10"/>
        <color theme="1"/>
        <rFont val="Aptos Narrow"/>
        <family val="2"/>
        <scheme val="minor"/>
      </rPr>
      <t xml:space="preserve">
Standardize FD parameters after increase TS to 49%</t>
    </r>
    <r>
      <rPr>
        <sz val="10"/>
        <color rgb="FF00B050"/>
        <rFont val="Aptos Narrow"/>
        <family val="2"/>
        <scheme val="minor"/>
      </rPr>
      <t xml:space="preserve"> (Done)</t>
    </r>
  </si>
  <si>
    <t>Duy Le</t>
  </si>
  <si>
    <t>OPs</t>
  </si>
  <si>
    <t>Trieu Phan</t>
  </si>
  <si>
    <t xml:space="preserve"> Evap/FD team</t>
  </si>
  <si>
    <t>Yes</t>
  </si>
  <si>
    <t>Done</t>
  </si>
  <si>
    <t>750kg FD/Hr</t>
  </si>
  <si>
    <t>Hai Le</t>
  </si>
  <si>
    <t>NA</t>
  </si>
  <si>
    <t>Reduce OPL &lt;2.5%</t>
  </si>
  <si>
    <r>
      <t xml:space="preserve">Revisit &amp; Reduce OPL 2025
Create/update the operations std
</t>
    </r>
    <r>
      <rPr>
        <sz val="10"/>
        <color rgb="FFFF0000"/>
        <rFont val="Aptos Narrow"/>
        <family val="2"/>
        <scheme val="minor"/>
      </rPr>
      <t>--&gt; Action pending</t>
    </r>
    <r>
      <rPr>
        <sz val="10"/>
        <color theme="1"/>
        <rFont val="Aptos Narrow"/>
        <family val="2"/>
        <scheme val="minor"/>
      </rPr>
      <t xml:space="preserve">
Average: Jan to May: 3.14%</t>
    </r>
  </si>
  <si>
    <t>Vu Le</t>
  </si>
  <si>
    <t>All Process</t>
  </si>
  <si>
    <t>&lt; 2.5%</t>
  </si>
  <si>
    <t>Jun
Jul</t>
  </si>
  <si>
    <t>Late</t>
  </si>
  <si>
    <t>Duy Pham</t>
  </si>
  <si>
    <t>CUSTOMER COMPLAINT</t>
  </si>
  <si>
    <t>No. of major complaint</t>
  </si>
  <si>
    <t>Q-line mapping for Micro (Reduce 50% NCP due to Micro)</t>
  </si>
  <si>
    <r>
      <t xml:space="preserve">With Production:
Normal production: 100% production normal operation mapped
CIP/COP: 100% cleaning operation mapped:
</t>
    </r>
    <r>
      <rPr>
        <sz val="10"/>
        <rFont val="Aptos Narrow"/>
        <family val="2"/>
        <scheme val="minor"/>
      </rPr>
      <t>- Risk assessment &amp; Key action focus</t>
    </r>
    <r>
      <rPr>
        <sz val="10"/>
        <color rgb="FF0070C0"/>
        <rFont val="Aptos Narrow"/>
        <family val="2"/>
        <scheme val="minor"/>
      </rPr>
      <t xml:space="preserve">: </t>
    </r>
    <r>
      <rPr>
        <sz val="10"/>
        <color rgb="FF00B050"/>
        <rFont val="Aptos Narrow"/>
        <family val="2"/>
        <scheme val="minor"/>
      </rPr>
      <t xml:space="preserve">Done.
</t>
    </r>
    <r>
      <rPr>
        <sz val="10"/>
        <rFont val="Aptos Narrow"/>
        <family val="2"/>
        <scheme val="minor"/>
      </rPr>
      <t xml:space="preserve">- Proactive alarm &amp; prevent micro growth at stages at previous evap  - </t>
    </r>
    <r>
      <rPr>
        <sz val="10"/>
        <color rgb="FFFFC000"/>
        <rFont val="Aptos Narrow"/>
        <family val="2"/>
        <scheme val="minor"/>
      </rPr>
      <t>On going</t>
    </r>
    <r>
      <rPr>
        <sz val="10"/>
        <color rgb="FF0070C0"/>
        <rFont val="Aptos Narrow"/>
        <family val="2"/>
        <scheme val="minor"/>
      </rPr>
      <t xml:space="preserve">
</t>
    </r>
    <r>
      <rPr>
        <b/>
        <sz val="10"/>
        <color rgb="FF0070C0"/>
        <rFont val="Aptos Narrow"/>
        <family val="2"/>
        <scheme val="minor"/>
      </rPr>
      <t xml:space="preserve">- Key focus: </t>
    </r>
    <r>
      <rPr>
        <sz val="10"/>
        <color rgb="FF0070C0"/>
        <rFont val="Aptos Narrow"/>
        <family val="2"/>
        <scheme val="minor"/>
      </rPr>
      <t xml:space="preserve">
</t>
    </r>
    <r>
      <rPr>
        <i/>
        <sz val="10"/>
        <color rgb="FFFF0000"/>
        <rFont val="Aptos Narrow"/>
        <family val="2"/>
        <scheme val="minor"/>
      </rPr>
      <t>+ Micro from Sediment &amp; Prevent Growth Set tank (&lt;15 độ).
+ Prevent Cross - Contamination: WB, FMT</t>
    </r>
  </si>
  <si>
    <t>Binh Dang</t>
  </si>
  <si>
    <t>QA</t>
  </si>
  <si>
    <t>Triều Phan, Đức Nguyễn</t>
  </si>
  <si>
    <t>Reduce 50% NCP vs 2025 (64 tons)</t>
  </si>
  <si>
    <t>Dung Tran</t>
  </si>
  <si>
    <t>Thi Nguyen</t>
  </si>
  <si>
    <t>Liquid Extract 
(tons Liquid)</t>
  </si>
  <si>
    <r>
      <t xml:space="preserve">Increase capacity of Devex line to 780 kgs/h
--&gt; </t>
    </r>
    <r>
      <rPr>
        <sz val="10"/>
        <color rgb="FFFF0000"/>
        <rFont val="Aptos Narrow"/>
        <family val="2"/>
        <scheme val="minor"/>
      </rPr>
      <t>Actual: 760 kg/hr</t>
    </r>
  </si>
  <si>
    <r>
      <t xml:space="preserve">Increase cell load from 395 -&gt; 400 Actual: 400 </t>
    </r>
    <r>
      <rPr>
        <sz val="10"/>
        <color rgb="FF00B050"/>
        <rFont val="Aptos Narrow"/>
        <family val="2"/>
        <scheme val="minor"/>
      </rPr>
      <t>(Done)</t>
    </r>
    <r>
      <rPr>
        <sz val="10"/>
        <color theme="1"/>
        <rFont val="Aptos Narrow"/>
        <family val="2"/>
        <scheme val="minor"/>
      </rPr>
      <t xml:space="preserve">
Reduce cycle time from 19 -&gt; 17 </t>
    </r>
    <r>
      <rPr>
        <sz val="10"/>
        <color rgb="FFFFC000"/>
        <rFont val="Aptos Narrow"/>
        <family val="2"/>
        <scheme val="minor"/>
      </rPr>
      <t xml:space="preserve"> </t>
    </r>
    <r>
      <rPr>
        <sz val="10"/>
        <color rgb="FF00B050"/>
        <rFont val="Aptos Narrow"/>
        <family val="2"/>
        <scheme val="minor"/>
      </rPr>
      <t>Actual: 18 mins (On going) -Done</t>
    </r>
    <r>
      <rPr>
        <sz val="10"/>
        <color rgb="FFFF0000"/>
        <rFont val="Aptos Narrow"/>
        <family val="2"/>
        <scheme val="minor"/>
      </rPr>
      <t xml:space="preserve"> </t>
    </r>
    <r>
      <rPr>
        <sz val="10"/>
        <color theme="1"/>
        <rFont val="Aptos Narrow"/>
        <family val="2"/>
        <scheme val="minor"/>
      </rPr>
      <t xml:space="preserve">
Increase Evap running time from 32 hrs to 48 hrs</t>
    </r>
    <r>
      <rPr>
        <sz val="10"/>
        <color rgb="FF00B050"/>
        <rFont val="Aptos Narrow"/>
        <family val="2"/>
        <scheme val="minor"/>
      </rPr>
      <t xml:space="preserve"> Actual: 40 hrs (Done)</t>
    </r>
  </si>
  <si>
    <t>Quang Vu</t>
  </si>
  <si>
    <t>Ext team</t>
  </si>
  <si>
    <t>Stable 780kg/hr</t>
  </si>
  <si>
    <t>Mar
Apr
May
Jul</t>
  </si>
  <si>
    <t>late</t>
  </si>
  <si>
    <t>Vu Tran</t>
  </si>
  <si>
    <t>Duc Mai</t>
  </si>
  <si>
    <r>
      <t xml:space="preserve">Reduce Monthly Planned Stop at Extraction from 46 hours to 38 hours
</t>
    </r>
    <r>
      <rPr>
        <sz val="10"/>
        <color rgb="FFFF0000"/>
        <rFont val="Aptos Narrow"/>
        <family val="2"/>
        <scheme val="minor"/>
      </rPr>
      <t>MTD: 42,5 hrs</t>
    </r>
  </si>
  <si>
    <r>
      <t xml:space="preserve">Reduce EXT CIP from 16 hours to 14 hours. </t>
    </r>
    <r>
      <rPr>
        <sz val="10"/>
        <color rgb="FFFF0000"/>
        <rFont val="Aptos Narrow"/>
        <family val="2"/>
        <scheme val="minor"/>
      </rPr>
      <t xml:space="preserve">Actual: 16 (On going)
</t>
    </r>
    <r>
      <rPr>
        <sz val="10"/>
        <color rgb="FF0000FF"/>
        <rFont val="Aptos Narrow"/>
        <family val="2"/>
        <scheme val="minor"/>
      </rPr>
      <t>- CIP program 10 cell thay cho CIP 5 cell/1 lần -</t>
    </r>
    <r>
      <rPr>
        <sz val="10"/>
        <color rgb="FF00B050"/>
        <rFont val="Aptos Narrow"/>
        <family val="2"/>
        <scheme val="minor"/>
      </rPr>
      <t xml:space="preserve"> Done</t>
    </r>
    <r>
      <rPr>
        <sz val="10"/>
        <color rgb="FF0000FF"/>
        <rFont val="Aptos Narrow"/>
        <family val="2"/>
        <scheme val="minor"/>
      </rPr>
      <t xml:space="preserve">
</t>
    </r>
    <r>
      <rPr>
        <sz val="10"/>
        <color rgb="FF00B050"/>
        <rFont val="Aptos Narrow"/>
        <family val="2"/>
        <scheme val="minor"/>
      </rPr>
      <t>- Trial CIP không tháo Bottom Filter  -Done</t>
    </r>
    <r>
      <rPr>
        <sz val="10"/>
        <color rgb="FF0000FF"/>
        <rFont val="Aptos Narrow"/>
        <family val="2"/>
        <scheme val="minor"/>
      </rPr>
      <t xml:space="preserve">
- Các task tháo mở top filter, thiết bị để CIP -&gt; Phối hợp bảo trì để làm nhanh nhất có thể.</t>
    </r>
    <r>
      <rPr>
        <sz val="10"/>
        <color rgb="FFFF0000"/>
        <rFont val="Aptos Narrow"/>
        <family val="2"/>
        <scheme val="minor"/>
      </rPr>
      <t xml:space="preserve">
</t>
    </r>
    <r>
      <rPr>
        <sz val="10"/>
        <color theme="1"/>
        <rFont val="Aptos Narrow"/>
        <family val="2"/>
        <scheme val="minor"/>
      </rPr>
      <t xml:space="preserve">Reduce Pressure Test &amp; Start up from 12hrs to 8 hours. </t>
    </r>
    <r>
      <rPr>
        <sz val="10"/>
        <color rgb="FFFF0000"/>
        <rFont val="Aptos Narrow"/>
        <family val="2"/>
        <scheme val="minor"/>
      </rPr>
      <t xml:space="preserve">Actual 11 hrs (On going)
</t>
    </r>
    <r>
      <rPr>
        <sz val="10"/>
        <color rgb="FF00B050"/>
        <rFont val="Aptos Narrow"/>
        <family val="2"/>
        <scheme val="minor"/>
      </rPr>
      <t>- Trial Pressure test bằng Steam, thay bằng nước- đã trial 1 lần vào tháng 2 -Done</t>
    </r>
    <r>
      <rPr>
        <sz val="10"/>
        <color theme="1"/>
        <rFont val="Aptos Narrow"/>
        <family val="2"/>
        <scheme val="minor"/>
      </rPr>
      <t xml:space="preserve">
</t>
    </r>
    <r>
      <rPr>
        <sz val="10"/>
        <color rgb="FF0000FF"/>
        <rFont val="Aptos Narrow"/>
        <family val="2"/>
        <scheme val="minor"/>
      </rPr>
      <t>- Tăng cường nhân lực kiểm tra trong quá trình thay ống và valve để giảm mistake.</t>
    </r>
  </si>
  <si>
    <t>Nam Tran</t>
  </si>
  <si>
    <t>PS of EXT: 38 hrs</t>
  </si>
  <si>
    <t>COST</t>
  </si>
  <si>
    <t>Yield of VG2
Yield of Conilon</t>
  </si>
  <si>
    <t>2.01
2.00</t>
  </si>
  <si>
    <r>
      <t xml:space="preserve">Sustain yield 60.5%
</t>
    </r>
    <r>
      <rPr>
        <sz val="10"/>
        <color rgb="FF00B050"/>
        <rFont val="Aptos Narrow"/>
        <family val="2"/>
        <scheme val="minor"/>
      </rPr>
      <t>Sustain: 60.5%</t>
    </r>
  </si>
  <si>
    <r>
      <t xml:space="preserve">Re-visit &amp; reduce OPL 2025 of Extraction
</t>
    </r>
    <r>
      <rPr>
        <sz val="10"/>
        <color rgb="FFFF0000"/>
        <rFont val="Aptos Narrow"/>
        <family val="2"/>
        <scheme val="minor"/>
      </rPr>
      <t xml:space="preserve">Top 3 issues:
1. Bottom filter blockage 
</t>
    </r>
    <r>
      <rPr>
        <sz val="10"/>
        <color rgb="FF0000FF"/>
        <rFont val="Aptos Narrow"/>
        <family val="2"/>
        <scheme val="minor"/>
      </rPr>
      <t xml:space="preserve">- Plan thay ống định kỳ hàng tháng - opimize lại plan thay ống hiệu quả. Phối hợp với MT cùng nhau work trong ngày shutdown
</t>
    </r>
    <r>
      <rPr>
        <sz val="10"/>
        <color rgb="FFFF0000"/>
        <rFont val="Aptos Narrow"/>
        <family val="2"/>
        <scheme val="minor"/>
      </rPr>
      <t xml:space="preserve">2. SE &amp; PE filter are blockage
</t>
    </r>
    <r>
      <rPr>
        <sz val="10"/>
        <color rgb="FF0000FF"/>
        <rFont val="Aptos Narrow"/>
        <family val="2"/>
        <scheme val="minor"/>
      </rPr>
      <t xml:space="preserve">- SE: Gắn thêm đường ống song song  - có thể chạy by pass
- PE: Gắn thêm 1 Rotary Fillter  -&gt;  swith chạy qua lại -&gt; Giảm downtime. (Pending )
</t>
    </r>
    <r>
      <rPr>
        <sz val="10"/>
        <color rgb="FF00B050"/>
        <rFont val="Aptos Narrow"/>
        <family val="2"/>
        <scheme val="minor"/>
      </rPr>
      <t>- PE: Gắn đường ống say Rotary valve lớn hơn, Gắn đường nước rửa cho lọc + đường ống PE sau lọc -Done</t>
    </r>
    <r>
      <rPr>
        <sz val="10"/>
        <color rgb="FF0000FF"/>
        <rFont val="Aptos Narrow"/>
        <family val="2"/>
        <scheme val="minor"/>
      </rPr>
      <t xml:space="preserve">
</t>
    </r>
    <r>
      <rPr>
        <sz val="10"/>
        <color rgb="FFFF0000"/>
        <rFont val="Aptos Narrow"/>
        <family val="2"/>
        <scheme val="minor"/>
      </rPr>
      <t>3. Piping blockage of the end of cycle</t>
    </r>
    <r>
      <rPr>
        <sz val="10"/>
        <color theme="1"/>
        <rFont val="Aptos Narrow"/>
        <family val="2"/>
        <scheme val="minor"/>
      </rPr>
      <t xml:space="preserve">
- Plan thay ống định kỳ hàng tháng - opimize lại plan thay ống hiệu quả. Phối hợp với MT cùng nhau work trong ngày shutdown</t>
    </r>
  </si>
  <si>
    <t>Sustain 60.5%</t>
  </si>
  <si>
    <t>RW Generation (tons)</t>
  </si>
  <si>
    <r>
      <t xml:space="preserve">Reduce RW generation
</t>
    </r>
    <r>
      <rPr>
        <sz val="10"/>
        <color rgb="FF00B050"/>
        <rFont val="Aptos Narrow"/>
        <family val="2"/>
        <scheme val="minor"/>
      </rPr>
      <t>MTD: 1420 kg</t>
    </r>
  </si>
  <si>
    <r>
      <t xml:space="preserve">Reduce/Eliminate the defect 2025 - </t>
    </r>
    <r>
      <rPr>
        <sz val="10"/>
        <color rgb="FF00B050"/>
        <rFont val="Aptos Narrow"/>
        <family val="2"/>
        <scheme val="minor"/>
      </rPr>
      <t>Done</t>
    </r>
    <r>
      <rPr>
        <sz val="10"/>
        <color theme="1"/>
        <rFont val="Aptos Narrow"/>
        <family val="2"/>
        <scheme val="minor"/>
      </rPr>
      <t xml:space="preserve">
Finetuning the standard &amp; SOP - </t>
    </r>
    <r>
      <rPr>
        <sz val="10"/>
        <color rgb="FF00B050"/>
        <rFont val="Aptos Narrow"/>
        <family val="2"/>
        <scheme val="minor"/>
      </rPr>
      <t>Done</t>
    </r>
    <r>
      <rPr>
        <sz val="10"/>
        <color theme="1"/>
        <rFont val="Aptos Narrow"/>
        <family val="2"/>
        <scheme val="minor"/>
      </rPr>
      <t xml:space="preserve">
Final CHO matrix - </t>
    </r>
    <r>
      <rPr>
        <sz val="10"/>
        <color rgb="FF00B050"/>
        <rFont val="Aptos Narrow"/>
        <family val="2"/>
        <scheme val="minor"/>
      </rPr>
      <t>Done</t>
    </r>
  </si>
  <si>
    <t>Quyet Nguyen</t>
  </si>
  <si>
    <t>FD/FP team</t>
  </si>
  <si>
    <t xml:space="preserve"> &lt; 50 tons</t>
  </si>
  <si>
    <r>
      <t xml:space="preserve">Reduce Monthly Planned Stop at Extraction from 46 hours to 38 hours
</t>
    </r>
    <r>
      <rPr>
        <sz val="10"/>
        <color rgb="FF00B050"/>
        <rFont val="Aptos Narrow"/>
        <family val="2"/>
        <scheme val="minor"/>
      </rPr>
      <t>MTD: 17 hrs</t>
    </r>
  </si>
  <si>
    <t xml:space="preserve">Reduce Maintenance time from 18 hrs to 16hrs </t>
  </si>
  <si>
    <t>Nam Truong</t>
  </si>
  <si>
    <t>Eng</t>
  </si>
  <si>
    <t>Apr
May
Jun
Jul</t>
  </si>
  <si>
    <t>Duy Nguyen</t>
  </si>
  <si>
    <t>Sustain yield 60.5%</t>
  </si>
  <si>
    <t>Re-visit &amp; reduce EPL 2025 of Extraction</t>
  </si>
  <si>
    <t>Mar
Apr
May
Jun</t>
  </si>
  <si>
    <t>No. of other complaint</t>
  </si>
  <si>
    <t>Q-line mapping for FB
(Reduce 90% wet RW volume due to FB)</t>
  </si>
  <si>
    <r>
      <t xml:space="preserve">With Production:
Normal production: 100% production normal operation mapped
CIP/COP: 100% cleaning operation mapped:
</t>
    </r>
    <r>
      <rPr>
        <b/>
        <sz val="10"/>
        <color theme="1"/>
        <rFont val="Aptos Narrow"/>
        <family val="2"/>
        <scheme val="minor"/>
      </rPr>
      <t xml:space="preserve">- </t>
    </r>
    <r>
      <rPr>
        <sz val="10"/>
        <color theme="1"/>
        <rFont val="Aptos Narrow"/>
        <family val="2"/>
        <scheme val="minor"/>
      </rPr>
      <t>Priority key Machine to control</t>
    </r>
    <r>
      <rPr>
        <b/>
        <sz val="10"/>
        <color theme="1"/>
        <rFont val="Aptos Narrow"/>
        <family val="2"/>
        <scheme val="minor"/>
      </rPr>
      <t>:</t>
    </r>
    <r>
      <rPr>
        <sz val="10"/>
        <color theme="1"/>
        <rFont val="Aptos Narrow"/>
        <family val="2"/>
        <scheme val="minor"/>
      </rPr>
      <t xml:space="preserve"> </t>
    </r>
    <r>
      <rPr>
        <sz val="10"/>
        <color rgb="FF00B050"/>
        <rFont val="Aptos Narrow"/>
        <family val="2"/>
        <scheme val="minor"/>
      </rPr>
      <t xml:space="preserve">Done
</t>
    </r>
    <r>
      <rPr>
        <sz val="10"/>
        <rFont val="Aptos Narrow"/>
        <family val="2"/>
        <scheme val="minor"/>
      </rPr>
      <t>- Proactive to tracking FB generate from Mainteanance activity (QA verify Shutdown list taks &amp; MoC</t>
    </r>
    <r>
      <rPr>
        <b/>
        <sz val="10"/>
        <rFont val="Aptos Narrow"/>
        <family val="2"/>
        <scheme val="minor"/>
      </rPr>
      <t>)</t>
    </r>
    <r>
      <rPr>
        <b/>
        <sz val="10"/>
        <color rgb="FF00B050"/>
        <rFont val="Aptos Narrow"/>
        <family val="2"/>
        <scheme val="minor"/>
      </rPr>
      <t xml:space="preserve"> - Done</t>
    </r>
    <r>
      <rPr>
        <sz val="10"/>
        <color theme="1"/>
        <rFont val="Aptos Narrow"/>
        <family val="2"/>
        <scheme val="minor"/>
      </rPr>
      <t xml:space="preserve">
</t>
    </r>
    <r>
      <rPr>
        <b/>
        <sz val="10"/>
        <color theme="1"/>
        <rFont val="Aptos Narrow"/>
        <family val="2"/>
        <scheme val="minor"/>
      </rPr>
      <t>Key Focus:</t>
    </r>
    <r>
      <rPr>
        <sz val="10"/>
        <color theme="1"/>
        <rFont val="Aptos Narrow"/>
        <family val="2"/>
        <scheme val="minor"/>
      </rPr>
      <t xml:space="preserve">
</t>
    </r>
    <r>
      <rPr>
        <sz val="10"/>
        <color rgb="FFFF0000"/>
        <rFont val="Aptos Narrow"/>
        <family val="2"/>
        <scheme val="minor"/>
      </rPr>
      <t>+ FD movement parts machine (CLeaning &amp; Maintenace)
+ PM at FP</t>
    </r>
  </si>
  <si>
    <t>Duy Lê</t>
  </si>
  <si>
    <t>Reduce 90% RW vs 2025 (37 tons)</t>
  </si>
  <si>
    <t>On Progress</t>
  </si>
  <si>
    <t>Re-visit &amp; reduce UPs 2025 of Utility</t>
  </si>
  <si>
    <t>Thang Cao</t>
  </si>
  <si>
    <t>Reduce Monthly Planned Stop at Extraction from 46 hours to 38 hours</t>
  </si>
  <si>
    <r>
      <rPr>
        <sz val="10"/>
        <color rgb="FF000000"/>
        <rFont val="Aptos Narrow"/>
        <family val="2"/>
        <scheme val="minor"/>
      </rPr>
      <t xml:space="preserve">Reduce CIP time by installing a new tank to collect wastewater from Extraction CIP (Utility) 
</t>
    </r>
    <r>
      <rPr>
        <sz val="10"/>
        <color rgb="FFFF0000"/>
        <rFont val="Aptos Narrow"/>
        <family val="2"/>
        <scheme val="minor"/>
      </rPr>
      <t>Actual: Survey, SOW, PR =&gt;Done, ongoing next steps</t>
    </r>
  </si>
  <si>
    <t>SAFETY</t>
  </si>
  <si>
    <t>Loss time incident</t>
  </si>
  <si>
    <t>Fire protection</t>
  </si>
  <si>
    <t>Zero error fire alarm issue</t>
  </si>
  <si>
    <t>Hoang Nguyen</t>
  </si>
  <si>
    <t>COP 
(USD/Kg FD)</t>
  </si>
  <si>
    <t>Reduce city water usage</t>
  </si>
  <si>
    <t>Saving RO reject to RAW water tank</t>
  </si>
  <si>
    <r>
      <t xml:space="preserve">Sustain moisture at range 2.5% - 2.9%
</t>
    </r>
    <r>
      <rPr>
        <sz val="10"/>
        <color rgb="FFFF0000"/>
        <rFont val="Aptos Narrow"/>
        <family val="2"/>
        <scheme val="minor"/>
      </rPr>
      <t>On going</t>
    </r>
  </si>
  <si>
    <t>Green Belt DMAIC project</t>
  </si>
  <si>
    <t>FD team</t>
  </si>
  <si>
    <t>2.5% - 2.9% Moisture of FD</t>
  </si>
  <si>
    <t>Outsourcing</t>
  </si>
  <si>
    <t>Burn protection</t>
  </si>
  <si>
    <r>
      <t xml:space="preserve">100% flanges are covered at 2nd floor
</t>
    </r>
    <r>
      <rPr>
        <sz val="10"/>
        <color rgb="FF00B050"/>
        <rFont val="Aptos Narrow"/>
        <family val="2"/>
        <scheme val="minor"/>
      </rPr>
      <t>--&gt; Installed</t>
    </r>
  </si>
  <si>
    <t>100% covered</t>
  </si>
  <si>
    <t>Reduce manufacturing loss from 5% to 4.5%</t>
  </si>
  <si>
    <r>
      <t xml:space="preserve">Finetuning the parameters of Clarifiers &amp; Evaporation. </t>
    </r>
    <r>
      <rPr>
        <sz val="10"/>
        <color rgb="FF00B050"/>
        <rFont val="Aptos Narrow"/>
        <family val="2"/>
        <scheme val="minor"/>
      </rPr>
      <t>Actual: 4% (Done)</t>
    </r>
    <r>
      <rPr>
        <sz val="10"/>
        <color theme="1"/>
        <rFont val="Aptos Narrow"/>
        <family val="2"/>
        <scheme val="minor"/>
      </rPr>
      <t xml:space="preserve">
-  Clarifiers: Empty tank-&gt;displace coffee-&gt;standby mode -&gt;water mode -&gt; done
+Install dual filter 200 micron
- Evaporation: 
+ Install and set VFD for Agritator 15hz
+CIP 32 - &gt; 40h -&gt; done
+CIP 40h -&gt; 48 : On progress (Support Ext capacity)
--&gt; Monitor data in Apr</t>
    </r>
  </si>
  <si>
    <t>Evap team</t>
  </si>
  <si>
    <t xml:space="preserve"> &lt; 4.5%</t>
  </si>
  <si>
    <t>Jun
Aug</t>
  </si>
  <si>
    <t>Reduce Maintenance Opex in Utility</t>
  </si>
  <si>
    <t>Optimize spare part of WTP
Find local supplier to reduce spare part price (similar quality)</t>
  </si>
  <si>
    <t>Hung Le</t>
  </si>
  <si>
    <t>Reduce WWT cost</t>
  </si>
  <si>
    <t>Burn sludge from WWT Plant in Boiler
Study to Sale sludge to Fertilizer</t>
  </si>
  <si>
    <t>Jun
Sep</t>
  </si>
  <si>
    <t>Re-use condensate water from process</t>
  </si>
  <si>
    <t xml:space="preserve">3440 m3 </t>
  </si>
  <si>
    <t>3440 m3</t>
  </si>
  <si>
    <t>10280 m3</t>
  </si>
  <si>
    <r>
      <rPr>
        <sz val="10"/>
        <color rgb="FF000000"/>
        <rFont val="Aptos Narrow"/>
        <family val="2"/>
        <scheme val="minor"/>
      </rPr>
      <t>Change makeup water for Boiler from RO to soft water -</t>
    </r>
    <r>
      <rPr>
        <sz val="10"/>
        <color rgb="FFFF0000"/>
        <rFont val="Aptos Narrow"/>
        <family val="2"/>
        <scheme val="minor"/>
      </rPr>
      <t xml:space="preserve"> </t>
    </r>
    <r>
      <rPr>
        <sz val="10"/>
        <color rgb="FF00B050"/>
        <rFont val="Aptos Narrow"/>
        <family val="2"/>
        <scheme val="minor"/>
      </rPr>
      <t>Done</t>
    </r>
  </si>
  <si>
    <t>Changed</t>
  </si>
  <si>
    <t>CSD (Critical Safety Device)</t>
  </si>
  <si>
    <r>
      <t xml:space="preserve">Apply CSD for dust at boiler --&gt; </t>
    </r>
    <r>
      <rPr>
        <sz val="10"/>
        <color rgb="FFFF0000"/>
        <rFont val="Aptos Narrow"/>
        <family val="2"/>
        <scheme val="minor"/>
      </rPr>
      <t>Aligned with a Hoàng to implementation</t>
    </r>
    <r>
      <rPr>
        <sz val="10"/>
        <color theme="1"/>
        <rFont val="Aptos Narrow"/>
        <family val="2"/>
        <scheme val="minor"/>
      </rPr>
      <t xml:space="preserve"> --</t>
    </r>
    <r>
      <rPr>
        <sz val="10"/>
        <color rgb="FF00B050"/>
        <rFont val="Aptos Narrow"/>
        <family val="2"/>
        <scheme val="minor"/>
      </rPr>
      <t>&gt; Sent the CSD</t>
    </r>
  </si>
  <si>
    <t>Reduce Electric usage</t>
  </si>
  <si>
    <r>
      <t xml:space="preserve">Install solar system (6.6% generate contribution)
</t>
    </r>
    <r>
      <rPr>
        <sz val="10"/>
        <color rgb="FF00B050"/>
        <rFont val="Aptos Narrow"/>
        <family val="2"/>
        <scheme val="minor"/>
      </rPr>
      <t>--&gt; Installed</t>
    </r>
  </si>
  <si>
    <t>Duc Nguyen</t>
  </si>
  <si>
    <t>COMPLIANCE</t>
  </si>
  <si>
    <t>No. of major finding from authorities</t>
  </si>
  <si>
    <t>Environmental Protection</t>
  </si>
  <si>
    <t>Use soft water for processing</t>
  </si>
  <si>
    <t>4080 m3</t>
  </si>
  <si>
    <t>4128 m3</t>
  </si>
  <si>
    <t>12336 m3</t>
  </si>
  <si>
    <t>Reduce cost 5% spare part for Extraction and Transport system</t>
  </si>
  <si>
    <t>Savings cost of spare part fabrication workshop
Contribute to reduce the store spare part over 36 months costs 10%
Refurbishing part to reduce purchasing</t>
  </si>
  <si>
    <t>Anh Truong</t>
  </si>
  <si>
    <t>Reduce cost 5% Overhaul</t>
  </si>
  <si>
    <t>Utilize local manpower instead of hiring experts ( software and hardware )
Improve innovation performance for equipment</t>
  </si>
  <si>
    <t>Thai Nguyen</t>
  </si>
  <si>
    <t>PEOPLE</t>
  </si>
  <si>
    <t>Turnover of direct labor</t>
  </si>
  <si>
    <t>Enhance career development &amp; growth program</t>
  </si>
  <si>
    <t>50% SF to achieve Multi skill plan
Build Shopfloor training program (onboarding program, competency matrix, career path,…
Build Internal soft skill training plan (6 topics x 2 sessions/year )</t>
  </si>
  <si>
    <t>Thu Duong</t>
  </si>
  <si>
    <t>HR</t>
  </si>
  <si>
    <t>Yen Tran</t>
  </si>
  <si>
    <r>
      <t xml:space="preserve">Fine tuning Grasso parameter --&gt; </t>
    </r>
    <r>
      <rPr>
        <sz val="10"/>
        <color rgb="FFFF0000"/>
        <rFont val="Aptos Narrow"/>
        <family val="2"/>
        <scheme val="minor"/>
      </rPr>
      <t>Trình bày trong meeting tháng 6</t>
    </r>
  </si>
  <si>
    <t>Reduce steam usage</t>
  </si>
  <si>
    <r>
      <rPr>
        <sz val="10"/>
        <color rgb="FF000000"/>
        <rFont val="Aptos Narrow"/>
        <family val="2"/>
        <scheme val="minor"/>
      </rPr>
      <t xml:space="preserve">Install electrical pump to replace current pump - </t>
    </r>
    <r>
      <rPr>
        <sz val="10"/>
        <color rgb="FF00B050"/>
        <rFont val="Aptos Narrow"/>
        <family val="2"/>
        <scheme val="minor"/>
      </rPr>
      <t xml:space="preserve">Done
</t>
    </r>
    <r>
      <rPr>
        <sz val="10"/>
        <color rgb="FF000000"/>
        <rFont val="Aptos Narrow"/>
        <family val="2"/>
        <scheme val="minor"/>
      </rPr>
      <t>Makeup water for boiler on condensate tank (befor dosing at deairator tank) -</t>
    </r>
    <r>
      <rPr>
        <sz val="10"/>
        <color rgb="FF00B050"/>
        <rFont val="Aptos Narrow"/>
        <family val="2"/>
        <scheme val="minor"/>
      </rPr>
      <t xml:space="preserve"> Done</t>
    </r>
  </si>
  <si>
    <t>Installed</t>
  </si>
  <si>
    <r>
      <rPr>
        <sz val="10"/>
        <color rgb="FF000000"/>
        <rFont val="Aptos Narrow"/>
        <family val="2"/>
        <scheme val="minor"/>
      </rPr>
      <t xml:space="preserve">Separate LP &amp; HP condensate water of boiler
</t>
    </r>
    <r>
      <rPr>
        <sz val="10"/>
        <color rgb="FF00B050"/>
        <rFont val="Aptos Narrow"/>
        <family val="2"/>
        <scheme val="minor"/>
      </rPr>
      <t>Control all steam traps to avoid steam leakage</t>
    </r>
    <r>
      <rPr>
        <sz val="10"/>
        <color rgb="FFFF0000"/>
        <rFont val="Aptos Narrow"/>
        <family val="2"/>
        <scheme val="minor"/>
      </rPr>
      <t xml:space="preserve"> </t>
    </r>
    <r>
      <rPr>
        <sz val="10"/>
        <color rgb="FF00B050"/>
        <rFont val="Aptos Narrow"/>
        <family val="2"/>
        <scheme val="minor"/>
      </rPr>
      <t>--&gt; Monitoring</t>
    </r>
  </si>
  <si>
    <t>Evacuation speaker system</t>
  </si>
  <si>
    <t>Set up evacuation speaker system</t>
  </si>
  <si>
    <t>E2E</t>
  </si>
  <si>
    <t>TBC By BODs</t>
  </si>
  <si>
    <t>BBS (Base behavior safety)</t>
  </si>
  <si>
    <t>Run BBS program</t>
  </si>
  <si>
    <t>SHE</t>
  </si>
  <si>
    <t>Ontime</t>
  </si>
  <si>
    <t>5S stage 2</t>
  </si>
  <si>
    <t>5S compliance (define stages following time)</t>
  </si>
  <si>
    <t>Minh Thai</t>
  </si>
  <si>
    <t>3S (70% completion)</t>
  </si>
  <si>
    <r>
      <t xml:space="preserve">Reduce RW generation
</t>
    </r>
    <r>
      <rPr>
        <sz val="10"/>
        <color rgb="FFFF0000"/>
        <rFont val="Aptos Narrow"/>
        <family val="2"/>
        <scheme val="minor"/>
      </rPr>
      <t>Late</t>
    </r>
  </si>
  <si>
    <t>Process ENG</t>
  </si>
  <si>
    <t>FOUNDATION</t>
  </si>
  <si>
    <t>Department project/target</t>
  </si>
  <si>
    <t>HRM System</t>
  </si>
  <si>
    <t>Digital Time Attendance system and integrate with SAP B1 (IRS) system</t>
  </si>
  <si>
    <t>Hong Vong</t>
  </si>
  <si>
    <t>IT</t>
  </si>
  <si>
    <t>Yen Tran
Thu Duong</t>
  </si>
  <si>
    <t>Huy Duong
Hung Le
Anh Truong
Que Nguyen
Duong Pham</t>
  </si>
  <si>
    <r>
      <t xml:space="preserve">Zero steam water was leaked to drained sewage (storm water) --&gt; </t>
    </r>
    <r>
      <rPr>
        <sz val="10"/>
        <color rgb="FF00B050"/>
        <rFont val="Aptos Narrow"/>
        <family val="2"/>
        <scheme val="minor"/>
      </rPr>
      <t>Done Monitoring in Apr</t>
    </r>
  </si>
  <si>
    <r>
      <t xml:space="preserve">WE mindset development
</t>
    </r>
    <r>
      <rPr>
        <sz val="10"/>
        <color rgb="FFFF0000"/>
        <rFont val="Aptos Narrow"/>
        <family val="2"/>
        <scheme val="minor"/>
      </rPr>
      <t>On progress</t>
    </r>
  </si>
  <si>
    <r>
      <t xml:space="preserve">Monthly Core value recognition program, re-visit monthly output competition - </t>
    </r>
    <r>
      <rPr>
        <sz val="10"/>
        <color rgb="FF00B050"/>
        <rFont val="Aptos Narrow"/>
        <family val="2"/>
        <scheme val="minor"/>
      </rPr>
      <t>Done</t>
    </r>
    <r>
      <rPr>
        <sz val="10"/>
        <color theme="1"/>
        <rFont val="Aptos Narrow"/>
        <family val="2"/>
        <scheme val="minor"/>
      </rPr>
      <t xml:space="preserve">
Build more employee feedback channels: HR QR, constructive feedback QR  – Employees’ concern (10%) – Response ontime rate (100%) – Review action plan
Quarterly Recognition - </t>
    </r>
    <r>
      <rPr>
        <sz val="10"/>
        <color rgb="FF00B050"/>
        <rFont val="Aptos Narrow"/>
        <family val="2"/>
        <scheme val="minor"/>
      </rPr>
      <t>Done</t>
    </r>
    <r>
      <rPr>
        <sz val="10"/>
        <color theme="1"/>
        <rFont val="Aptos Narrow"/>
        <family val="2"/>
        <scheme val="minor"/>
      </rPr>
      <t xml:space="preserve">
Annual engagement plan
Bi- yearly Employees Engagement survey (80%)</t>
    </r>
  </si>
  <si>
    <t>Dao Nguyen</t>
  </si>
  <si>
    <r>
      <t xml:space="preserve">Performance management
</t>
    </r>
    <r>
      <rPr>
        <sz val="10"/>
        <color rgb="FFFF0000"/>
        <rFont val="Aptos Narrow"/>
        <family val="2"/>
        <scheme val="minor"/>
      </rPr>
      <t>On progress</t>
    </r>
  </si>
  <si>
    <r>
      <t xml:space="preserve">Refresh Performance management training - </t>
    </r>
    <r>
      <rPr>
        <sz val="10"/>
        <color rgb="FFFF0000"/>
        <rFont val="Aptos Narrow"/>
        <family val="2"/>
        <scheme val="minor"/>
      </rPr>
      <t>On going</t>
    </r>
    <r>
      <rPr>
        <sz val="10"/>
        <color theme="1"/>
        <rFont val="Aptos Narrow"/>
        <family val="2"/>
        <scheme val="minor"/>
      </rPr>
      <t xml:space="preserve">
100% individual objective setting on time (Objective cascading in 10-Feb) -</t>
    </r>
    <r>
      <rPr>
        <sz val="10"/>
        <color rgb="FFFF0000"/>
        <rFont val="Aptos Narrow"/>
        <family val="2"/>
        <scheme val="minor"/>
      </rPr>
      <t xml:space="preserve"> </t>
    </r>
    <r>
      <rPr>
        <sz val="10"/>
        <color rgb="FF00B050"/>
        <rFont val="Aptos Narrow"/>
        <family val="2"/>
        <scheme val="minor"/>
      </rPr>
      <t>Done</t>
    </r>
    <r>
      <rPr>
        <sz val="10"/>
        <color theme="1"/>
        <rFont val="Aptos Narrow"/>
        <family val="2"/>
        <scheme val="minor"/>
      </rPr>
      <t xml:space="preserve">
100% Regular appraisal: Quarter checking, mid-year review, end of year -</t>
    </r>
    <r>
      <rPr>
        <sz val="10"/>
        <color rgb="FFFF0000"/>
        <rFont val="Aptos Narrow"/>
        <family val="2"/>
        <scheme val="minor"/>
      </rPr>
      <t xml:space="preserve"> On going</t>
    </r>
    <r>
      <rPr>
        <sz val="10"/>
        <color theme="1"/>
        <rFont val="Aptos Narrow"/>
        <family val="2"/>
        <scheme val="minor"/>
      </rPr>
      <t xml:space="preserve">
Link % Merit &amp; Bonus payout  -</t>
    </r>
    <r>
      <rPr>
        <sz val="10"/>
        <color rgb="FF00B050"/>
        <rFont val="Aptos Narrow"/>
        <family val="2"/>
        <scheme val="minor"/>
      </rPr>
      <t xml:space="preserve"> Done</t>
    </r>
  </si>
  <si>
    <t>Tax Reporting</t>
  </si>
  <si>
    <t xml:space="preserve">VAS_CIT/ WHT 2026 no major finding </t>
  </si>
  <si>
    <t>Trang Dao</t>
  </si>
  <si>
    <t>FC</t>
  </si>
  <si>
    <t>Cert. renewal</t>
  </si>
  <si>
    <t>Reduce hard-copy record and ECRS documented standard</t>
  </si>
  <si>
    <t>Reduce 40% hard-copy record, convert into digital data/record.
ECRS Documentated Standard</t>
  </si>
  <si>
    <t>Hồng Vọng</t>
  </si>
  <si>
    <t>Quế Nguyễn</t>
  </si>
  <si>
    <t>Simplify 30% documentation and convert into digital 40% record</t>
  </si>
  <si>
    <t>Sales &amp; Planning</t>
  </si>
  <si>
    <t>Sales Volume - 5550mt
Production volume ratio management – 49.6/50.4
Supply &amp; Demand Planning on time – 100%
FGs Inventory management - 300mt</t>
  </si>
  <si>
    <t>Thong Nguyen</t>
  </si>
  <si>
    <t>SC</t>
  </si>
  <si>
    <t>Duong Pham</t>
  </si>
  <si>
    <t>Procurement</t>
  </si>
  <si>
    <t>PR-PO management – 93%
On time delivery – 90%</t>
  </si>
  <si>
    <t>Tuyen Do</t>
  </si>
  <si>
    <t>Quynh Nguyen</t>
  </si>
  <si>
    <t>Import - Export</t>
  </si>
  <si>
    <t>Accuracy in documentation – 100%
No delay in Delivery &amp; Receiving – 98%
Less cost arise : 1%</t>
  </si>
  <si>
    <t>Khanh Nguyen</t>
  </si>
  <si>
    <t>Warehouse</t>
  </si>
  <si>
    <t>Loading capacity: 3 conts/day
Tipping capacity: 55mt/day
GB Warehouse capacity: 1500mt
Accuracy in Tipping loss tracking: 100%</t>
  </si>
  <si>
    <t>Truong Tran</t>
  </si>
  <si>
    <t>SAP system &amp; Improvement</t>
  </si>
  <si>
    <r>
      <t xml:space="preserve">SO – Invoice – Packing list template improvement 
SSCC pick up automation in SO 
BOM breakdown report 
Master data of HS code 
Outsource labor timesheet checking template for payment -&gt; </t>
    </r>
    <r>
      <rPr>
        <sz val="10"/>
        <color rgb="FF00B050"/>
        <rFont val="Aptos Narrow"/>
        <family val="2"/>
        <scheme val="minor"/>
      </rPr>
      <t>Done</t>
    </r>
  </si>
  <si>
    <t>Khanh Nguyen
Thong Nguyen</t>
  </si>
  <si>
    <t>Hang Tran</t>
  </si>
  <si>
    <t>SAP system</t>
  </si>
  <si>
    <t>Accounting: AR + AP standardize mapping/ reporting</t>
  </si>
  <si>
    <t>One stream System (LDC)</t>
  </si>
  <si>
    <r>
      <t xml:space="preserve">Standardize report mapping LDC report - </t>
    </r>
    <r>
      <rPr>
        <sz val="10"/>
        <color rgb="FF00B050"/>
        <rFont val="Aptos Narrow"/>
        <family val="2"/>
        <scheme val="minor"/>
      </rPr>
      <t>Done</t>
    </r>
  </si>
  <si>
    <t>Hang Ho</t>
  </si>
  <si>
    <t>Diem Nguyen</t>
  </si>
  <si>
    <t xml:space="preserve">Auto Cost report to off-takers </t>
  </si>
  <si>
    <t>Reduce EPL &lt; 2.5%</t>
  </si>
  <si>
    <t>Revisit &amp; Reduce EPL 2025
Implement Improvement list 2026
Support key performance of CI team
Re-apply Work order &amp; routine tracking</t>
  </si>
  <si>
    <t>Nam Truong
Thai Nguyen</t>
  </si>
  <si>
    <t>ENG</t>
  </si>
  <si>
    <t>Minutes of Meeting</t>
  </si>
  <si>
    <t>Review Date</t>
  </si>
  <si>
    <t>Project</t>
  </si>
  <si>
    <t>Activities</t>
  </si>
  <si>
    <t>Leader</t>
  </si>
  <si>
    <t>Comment</t>
  </si>
  <si>
    <t>Timing</t>
  </si>
  <si>
    <t>Status</t>
  </si>
  <si>
    <t>Finish time</t>
  </si>
  <si>
    <t>Completed</t>
  </si>
  <si>
    <t>Shutdown in Jan</t>
  </si>
  <si>
    <t>Increase TS = 49%
Standardize FD parameters after increase TS to 49%</t>
  </si>
  <si>
    <r>
      <rPr>
        <b/>
        <sz val="11"/>
        <color rgb="FF00B050"/>
        <rFont val="Times New Roman"/>
        <family val="1"/>
      </rPr>
      <t>Completed Project</t>
    </r>
    <r>
      <rPr>
        <sz val="11"/>
        <color theme="1"/>
        <rFont val="Times New Roman"/>
        <family val="1"/>
      </rPr>
      <t xml:space="preserve">
</t>
    </r>
    <r>
      <rPr>
        <b/>
        <u/>
        <sz val="11"/>
        <color theme="1"/>
        <rFont val="Times New Roman"/>
        <family val="1"/>
      </rPr>
      <t>Some comments from a Thi:</t>
    </r>
    <r>
      <rPr>
        <sz val="11"/>
        <color theme="1"/>
        <rFont val="Times New Roman"/>
        <family val="1"/>
      </rPr>
      <t xml:space="preserve">
1. Đảo bảo duy trì Speed để đạt được target Volume, tuy nhiên cần chú trọng đảm bảo chất lượng đi đôi với sản lượng
2. Listdown các parameters đã thay đổi (Before/After)
3. Kết hợp với Maintenance team to imrprove UPs (OPL/EPL) tại FD</t>
    </r>
  </si>
  <si>
    <t>Increase capacity of Devex line to 780 kgs/h</t>
  </si>
  <si>
    <t>Increase cell load
Reduce cycle time
Increase Evap running time from 32 hrs to 48 hrs</t>
  </si>
  <si>
    <r>
      <rPr>
        <sz val="11"/>
        <color rgb="FFFF0000"/>
        <rFont val="Times New Roman"/>
        <family val="1"/>
      </rPr>
      <t>MTD: 760 kg/hr - On progress</t>
    </r>
    <r>
      <rPr>
        <sz val="11"/>
        <color theme="1"/>
        <rFont val="Times New Roman"/>
        <family val="1"/>
      </rPr>
      <t xml:space="preserve">
</t>
    </r>
    <r>
      <rPr>
        <b/>
        <u/>
        <sz val="11"/>
        <color theme="1"/>
        <rFont val="Times New Roman"/>
        <family val="1"/>
      </rPr>
      <t>Comments:</t>
    </r>
    <r>
      <rPr>
        <sz val="11"/>
        <color theme="1"/>
        <rFont val="Times New Roman"/>
        <family val="1"/>
      </rPr>
      <t xml:space="preserve">
1. Check lại điều kiện chạy Moisturing sau khi Acceptance test with Devex (đạt/ 0 đạt ???)
2. Set ưu tiên cho các action đã define nhằm focus vào các action chính 
3. Collect data nghẹt (đường ống/valve/HX…) để xác định thời rõ thời gian vệ sinh/thay thế/sửa chữa/Prepare spare part/....
</t>
    </r>
  </si>
  <si>
    <t>Reduce EXT CIP from 16 hours to 14 hours
Reduce Pressure Test &amp; Start up from 12hrs to 8 hours</t>
  </si>
  <si>
    <r>
      <rPr>
        <sz val="11"/>
        <color rgb="FFFF0000"/>
        <rFont val="Times New Roman"/>
        <family val="1"/>
      </rPr>
      <t>MTD: 42,5 hrs - On progress</t>
    </r>
    <r>
      <rPr>
        <sz val="11"/>
        <color theme="1"/>
        <rFont val="Times New Roman"/>
        <family val="1"/>
      </rPr>
      <t xml:space="preserve">
</t>
    </r>
    <r>
      <rPr>
        <b/>
        <u/>
        <sz val="11"/>
        <color theme="1"/>
        <rFont val="Times New Roman"/>
        <family val="1"/>
      </rPr>
      <t>Comments:</t>
    </r>
    <r>
      <rPr>
        <sz val="11"/>
        <color theme="1"/>
        <rFont val="Times New Roman"/>
        <family val="1"/>
      </rPr>
      <t xml:space="preserve">
1. Production/Engineering cùng discuss để đưa ra/review &amp; aligned các action hỗ trợ cho việc giảm PS tại Ext (Review trong weekly meeting)
2. Study lắp thêm 1 hệ thống CIP (đánh giá kĩ việc lắp thêm có giúp giảm thời gian CIP or tăng hiệu quả CIP hay không? Nếu có --&gt; propose solution )
3. All team tập trung support EXT để đảm bảo cung cấp đủ dịch cho line FD &amp; volume hàng liquid</t>
    </r>
  </si>
  <si>
    <t>Reduce CIP time by installing a new tank to collect wastewater from Extraction CIP (Utility)</t>
  </si>
  <si>
    <t>Q-line mapping for Micro (
Reduce 50% NCP due to Micro)</t>
  </si>
  <si>
    <t>With Production:
Normal production: 100% production normal operation mapped
CIP/COP: 100% cleaning operation mapped</t>
  </si>
  <si>
    <r>
      <rPr>
        <sz val="11"/>
        <color rgb="FFFF0000"/>
        <rFont val="Times New Roman"/>
        <family val="1"/>
      </rPr>
      <t xml:space="preserve">On progress
</t>
    </r>
    <r>
      <rPr>
        <b/>
        <u/>
        <sz val="11"/>
        <color rgb="FF000000"/>
        <rFont val="Times New Roman"/>
        <family val="1"/>
      </rPr>
      <t xml:space="preserve">Comments:
</t>
    </r>
    <r>
      <rPr>
        <sz val="11"/>
        <color rgb="FF000000"/>
        <rFont val="Times New Roman"/>
        <family val="1"/>
      </rPr>
      <t>1. Data collection for NC of micro (target/tháng, MTD,…)
2. Review &amp; đánh giá kĩ các actions đã triển khai (giảm cycle hồi sediment, ép bã,…)
3. Standardize các điều kiện/thông số chuẩn (critical imapct) để duy trì kiểm soát vi sinh tại từng cụm thiết bị</t>
    </r>
    <r>
      <rPr>
        <sz val="11"/>
        <color theme="1"/>
        <rFont val="Times New Roman"/>
        <family val="1"/>
      </rPr>
      <t xml:space="preserve">
--&gt; Move due date to Jun</t>
    </r>
  </si>
  <si>
    <t>With Production:
Normal production: 100% production normal operation mapped
CIP/COP: 100% cleaning operation mapped
With Maintenance:
100% Maintenance operation mapped</t>
  </si>
  <si>
    <r>
      <rPr>
        <sz val="11"/>
        <color rgb="FFFF0000"/>
        <rFont val="Times New Roman"/>
        <family val="1"/>
      </rPr>
      <t xml:space="preserve">On progress
</t>
    </r>
    <r>
      <rPr>
        <b/>
        <u/>
        <sz val="11"/>
        <color rgb="FF000000"/>
        <rFont val="Times New Roman"/>
        <family val="1"/>
      </rPr>
      <t xml:space="preserve">Comments:
</t>
    </r>
    <r>
      <rPr>
        <sz val="11"/>
        <color rgb="FF000000"/>
        <rFont val="Times New Roman"/>
        <family val="1"/>
      </rPr>
      <t>1. Focus đưa ra action để giải quyết complaint liên quan đến FB carton tại FP
2. Nên có danh sách quản lý thiết/tools tại các khu vực sản phẩm hở đã được approval sử dụng
3. Các hoạt động có mối nguy FB cần thực hiện Wrok permit để kiểm soát
4. Nên tạo checklist kiểm soát công cụ dụng cụ sau khi vệ sinh/bảo trì
--&gt; Move due date to Jun</t>
    </r>
  </si>
  <si>
    <t>Re-visit &amp; reduce OPL 2025 of Extraction</t>
  </si>
  <si>
    <r>
      <rPr>
        <sz val="11"/>
        <color rgb="FF00B050"/>
        <rFont val="Times New Roman"/>
        <family val="1"/>
      </rPr>
      <t xml:space="preserve">MTD: 60,5 - 61% </t>
    </r>
    <r>
      <rPr>
        <sz val="11"/>
        <color theme="1"/>
        <rFont val="Times New Roman"/>
        <family val="1"/>
      </rPr>
      <t xml:space="preserve">
</t>
    </r>
    <r>
      <rPr>
        <sz val="11"/>
        <color rgb="FFFF0000"/>
        <rFont val="Times New Roman"/>
        <family val="1"/>
      </rPr>
      <t>Action - On progress</t>
    </r>
    <r>
      <rPr>
        <sz val="11"/>
        <color theme="1"/>
        <rFont val="Times New Roman"/>
        <family val="1"/>
      </rPr>
      <t xml:space="preserve">
Follow up action đã define trong weekly meeting, các actions cần được discuss &amp; aligned trước khi thực hiện nhầm mitigates rủi ro (nếu có)</t>
    </r>
  </si>
  <si>
    <t>100% flanges are covered at 2nd floor</t>
  </si>
  <si>
    <r>
      <rPr>
        <b/>
        <sz val="11"/>
        <color rgb="FF00B050"/>
        <rFont val="Times New Roman"/>
        <family val="1"/>
      </rPr>
      <t>Installed</t>
    </r>
    <r>
      <rPr>
        <sz val="11"/>
        <color theme="1"/>
        <rFont val="Times New Roman"/>
        <family val="1"/>
      </rPr>
      <t xml:space="preserve">
Completed on 2nd floor</t>
    </r>
  </si>
  <si>
    <t>Finetuning the parameters of Clarifiers &amp; Evaporation</t>
  </si>
  <si>
    <r>
      <rPr>
        <b/>
        <sz val="11"/>
        <color rgb="FF00B050"/>
        <rFont val="Times New Roman"/>
        <family val="1"/>
      </rPr>
      <t>Completed Project</t>
    </r>
    <r>
      <rPr>
        <sz val="11"/>
        <color theme="1"/>
        <rFont val="Times New Roman"/>
        <family val="1"/>
      </rPr>
      <t xml:space="preserve">
Monthly review to track the results and ensure sustainability</t>
    </r>
  </si>
  <si>
    <t>Install filter before clarifier
Connect sludge discharge from clarifiers to thin tank
Utilize current decanter from SGS area</t>
  </si>
  <si>
    <r>
      <rPr>
        <sz val="11"/>
        <color rgb="FFFF0000"/>
        <rFont val="Times New Roman"/>
        <family val="1"/>
      </rPr>
      <t xml:space="preserve">On progress </t>
    </r>
    <r>
      <rPr>
        <sz val="11"/>
        <color theme="1"/>
        <rFont val="Times New Roman"/>
        <family val="1"/>
      </rPr>
      <t xml:space="preserve">
Follow up in Internal meeting from ENG &amp; update the result to team</t>
    </r>
  </si>
  <si>
    <t>On progress</t>
  </si>
  <si>
    <t xml:space="preserve">Apply CSD for dust at boiler </t>
  </si>
  <si>
    <t>Install electrical pump to replace current pump</t>
  </si>
  <si>
    <r>
      <rPr>
        <b/>
        <sz val="11"/>
        <color rgb="FF00B050"/>
        <rFont val="Times New Roman"/>
        <family val="1"/>
      </rPr>
      <t>Installed</t>
    </r>
    <r>
      <rPr>
        <sz val="11"/>
        <color theme="1"/>
        <rFont val="Times New Roman"/>
        <family val="1"/>
      </rPr>
      <t xml:space="preserve">
Follow up in Internal meeting from ENG &amp; update the result to team</t>
    </r>
  </si>
  <si>
    <t>Separate LP &amp; HP condensate water of boiler
Control all steam traps to avoid steam leakage</t>
  </si>
  <si>
    <r>
      <rPr>
        <b/>
        <sz val="11"/>
        <color rgb="FF00B050"/>
        <rFont val="Times New Roman"/>
        <family val="1"/>
      </rPr>
      <t>Completed</t>
    </r>
    <r>
      <rPr>
        <sz val="11"/>
        <color theme="1"/>
        <rFont val="Times New Roman"/>
        <family val="1"/>
      </rPr>
      <t xml:space="preserve">
Follow up in Internal meeting from ENG &amp; update the result to team</t>
    </r>
  </si>
  <si>
    <t>Fine tuning Grasso parameter</t>
  </si>
  <si>
    <t xml:space="preserve">Zero coffee spent ground drop and release to environment (solid and wastewater)
Zero steam water was leaked to drained sewage (storm water) </t>
  </si>
  <si>
    <r>
      <rPr>
        <sz val="11"/>
        <color rgb="FFFF0000"/>
        <rFont val="Times New Roman"/>
        <family val="1"/>
      </rPr>
      <t xml:space="preserve">On progress 
</t>
    </r>
    <r>
      <rPr>
        <sz val="11"/>
        <color rgb="FF000000"/>
        <rFont val="Times New Roman"/>
        <family val="1"/>
      </rPr>
      <t>Follow up in Internal meeting from ENG &amp; update the result to team</t>
    </r>
  </si>
  <si>
    <t>WE mindset development</t>
  </si>
  <si>
    <t>Monthly Core value recognition program, re-visit monthly output competition 
Build more employee feedback channels: HR QR, constructive feedback QR  – Employees’ concern (10%) – Response ontime rate (100%) – Review action plan
Quarterly Recognition
Annual engagement plan
Bi- yearly Employees Engagement survey (80%)</t>
  </si>
  <si>
    <r>
      <rPr>
        <sz val="11"/>
        <color rgb="FFFF0000"/>
        <rFont val="Times New Roman"/>
        <family val="1"/>
      </rPr>
      <t xml:space="preserve">On progress </t>
    </r>
    <r>
      <rPr>
        <sz val="11"/>
        <color theme="1"/>
        <rFont val="Times New Roman"/>
        <family val="1"/>
      </rPr>
      <t xml:space="preserve">
Follow up in Internal meeting from HR &amp; update the result to team</t>
    </r>
  </si>
  <si>
    <t>Performance management</t>
  </si>
  <si>
    <t xml:space="preserve">Refresh Performance management training 
100% individual objective setting on time (Objective cascading in 10-Feb)
100% Regular appraisal: Quarter checking, mid-year review, end of year
Link % Merit &amp; Bonus payout </t>
  </si>
  <si>
    <t xml:space="preserve">Standardize report mapping LDC report </t>
  </si>
  <si>
    <r>
      <rPr>
        <b/>
        <sz val="11"/>
        <color rgb="FF00B050"/>
        <rFont val="Times New Roman"/>
        <family val="1"/>
      </rPr>
      <t>Completed</t>
    </r>
    <r>
      <rPr>
        <sz val="11"/>
        <color theme="1"/>
        <rFont val="Times New Roman"/>
        <family val="1"/>
      </rPr>
      <t xml:space="preserve">
Follow up in Internal meeting from FC &amp; update the result to team</t>
    </r>
  </si>
  <si>
    <t>March</t>
  </si>
  <si>
    <r>
      <rPr>
        <b/>
        <sz val="11"/>
        <color rgb="FF00B050"/>
        <rFont val="Times New Roman"/>
        <family val="1"/>
      </rPr>
      <t>Completed</t>
    </r>
    <r>
      <rPr>
        <sz val="11"/>
        <color theme="1"/>
        <rFont val="Times New Roman"/>
        <family val="1"/>
      </rPr>
      <t xml:space="preserve">
Monitor result effectiveness</t>
    </r>
  </si>
  <si>
    <r>
      <rPr>
        <sz val="11"/>
        <color rgb="FFFF0000"/>
        <rFont val="Times New Roman"/>
        <family val="1"/>
      </rPr>
      <t>MTD: 17 hrs</t>
    </r>
    <r>
      <rPr>
        <sz val="11"/>
        <color theme="1"/>
        <rFont val="Times New Roman"/>
        <family val="1"/>
      </rPr>
      <t xml:space="preserve">
Complete the remaining action to achieved target in May</t>
    </r>
  </si>
  <si>
    <t>Reduce RW generation</t>
  </si>
  <si>
    <t>Reduce/Eliminate the defect 2025
Finetuning the standard &amp; SOP
Final CHO matrix</t>
  </si>
  <si>
    <r>
      <rPr>
        <b/>
        <sz val="11"/>
        <color rgb="FF00B050"/>
        <rFont val="Times New Roman"/>
        <family val="1"/>
      </rPr>
      <t>MTD: 1420kg</t>
    </r>
    <r>
      <rPr>
        <sz val="11"/>
        <color theme="1"/>
        <rFont val="Times New Roman"/>
        <family val="1"/>
      </rPr>
      <t xml:space="preserve">
Most of action defined are completed
Combine the remaining action related to FB in the Project of Binh Dang
Continue monitor result effectiveness</t>
    </r>
  </si>
  <si>
    <t>April</t>
  </si>
  <si>
    <t>Install a new aroma tank 1m3 to ensure a smooth changeover without aroma contamination</t>
  </si>
  <si>
    <t>Discuss with a Duy Nguyen to get support</t>
  </si>
  <si>
    <t>Install solar system (6.6% generate contribution)</t>
  </si>
  <si>
    <r>
      <rPr>
        <b/>
        <sz val="11"/>
        <color rgb="FF00B050"/>
        <rFont val="Times New Roman"/>
        <family val="1"/>
      </rPr>
      <t>Installed</t>
    </r>
    <r>
      <rPr>
        <sz val="11"/>
        <color theme="1"/>
        <rFont val="Times New Roman"/>
        <family val="1"/>
      </rPr>
      <t xml:space="preserve">
Calculate the saving in Quarter 2</t>
    </r>
  </si>
  <si>
    <t>SO – Invoice – Packing list template improvement
SSCC pick up automation in SO
BOM breakdown report
Master data of HS code 
Outsource labor timesheet checking template for payment - Done</t>
  </si>
  <si>
    <t>Continue follow up the action defined
Send the evidence after completed project</t>
  </si>
  <si>
    <t>Zero coffee spent ground drop and release to environment (solid and wastewater)</t>
  </si>
  <si>
    <t>PR/PO created
Continue follow up with SC to complete actions.</t>
  </si>
  <si>
    <r>
      <rPr>
        <b/>
        <sz val="11"/>
        <color theme="1"/>
        <rFont val="Times New Roman"/>
        <family val="1"/>
      </rPr>
      <t>Comment:</t>
    </r>
    <r>
      <rPr>
        <sz val="11"/>
        <color theme="1"/>
        <rFont val="Times New Roman"/>
        <family val="1"/>
      </rPr>
      <t xml:space="preserve">
1. Collect lại chính xác total EPL (YTD)
2. Thêm data các sự cố tại Utility --&gt; action to reduce
3. Xây dựng quy trình chuẩn &amp; triển khai cho nhà thầu khi hỗ trợ shutdown, đảm bảo kiểm tra trước khi bàn giao cho nhà máy
4. Nên xây dựng hệ thống kiểm tra toàn diện sau khi bảo trì (SOP/WI), đảm bảo hệ thống restart smoothly.
5. Apply trực quan hóa các điểm kiểm soát thiết bị, high focus to FD</t>
    </r>
  </si>
  <si>
    <r>
      <rPr>
        <b/>
        <sz val="11"/>
        <color rgb="FF00B050"/>
        <rFont val="Times New Roman"/>
        <family val="1"/>
      </rPr>
      <t>EXT Capacity in May: 815kg/h</t>
    </r>
    <r>
      <rPr>
        <sz val="11"/>
        <color theme="1"/>
        <rFont val="Times New Roman"/>
        <family val="1"/>
      </rPr>
      <t xml:space="preserve">
Comment:
List down các yếu tố ảnh hưởng đến capacity (ACN, downstream,..) &amp; % mức độ impact
--&gt; Trial tăng running time of clarifier to 10h, 12h (đánh giá step by step)
--&gt; Đánh giá lượng cặn hồi về từ sediment tank (impact ntn đến hoạt động clarifier</t>
    </r>
  </si>
  <si>
    <r>
      <rPr>
        <b/>
        <sz val="11"/>
        <color rgb="FF00B050"/>
        <rFont val="Times New Roman"/>
        <family val="1"/>
      </rPr>
      <t>YTD: 42,5 hrs</t>
    </r>
    <r>
      <rPr>
        <sz val="11"/>
        <color theme="1"/>
        <rFont val="Times New Roman"/>
        <family val="1"/>
      </rPr>
      <t xml:space="preserve">
Comment:
1. Tính toán lượng caustic nếu xả về WWTP (1 tháng/lần)
2. Study nếu gắn thêm bộ lọc cặn xút để giảm thời gian vệ sinh --&gt; Eng support thiết kế bộ lọc thuận tiện cho việc tháo lắp</t>
    </r>
  </si>
  <si>
    <t>Comment:
Study phương án chạy Ext tối ưu nhất để đạt được target GY 1.99</t>
  </si>
  <si>
    <t>Comment:
Cần collect thông tin EPL của Ext để lên kế hoạch cụ thể
Report present in Jun</t>
  </si>
  <si>
    <r>
      <rPr>
        <b/>
        <sz val="11"/>
        <color rgb="FF00B050"/>
        <rFont val="Times New Roman"/>
        <family val="1"/>
      </rPr>
      <t>PS in May: 15 hrs</t>
    </r>
    <r>
      <rPr>
        <sz val="11"/>
        <color theme="1"/>
        <rFont val="Times New Roman"/>
        <family val="1"/>
      </rPr>
      <t xml:space="preserve">
Comment:
Kết hợp Prod để lên kế hoạch dừng line tối ưu nhất
Chuẩn hóa maintenance task khi shutdown, report present in Jun</t>
    </r>
  </si>
  <si>
    <t>Comment:
Complete end of May</t>
  </si>
  <si>
    <t>Comment:
Discuss with a Hoang to implementation</t>
  </si>
  <si>
    <r>
      <t xml:space="preserve">Comment:
Discuss with a Hoang to implementation
</t>
    </r>
    <r>
      <rPr>
        <sz val="11"/>
        <color rgb="FF00B050"/>
        <rFont val="Times New Roman"/>
        <family val="1"/>
      </rPr>
      <t>Completed and sent to Hoang Nguyen</t>
    </r>
  </si>
  <si>
    <t xml:space="preserve">Comment:
Đã tạo chương trình cho băng tải, chờ kết nối vào W21 </t>
  </si>
  <si>
    <t>Comment:
Tạo report present in Jun</t>
  </si>
  <si>
    <t>Comment:
Waiting approval from BOD</t>
  </si>
  <si>
    <t>Comment:
Should be separate to each activity 
Book meeting discuss to implementation</t>
  </si>
  <si>
    <r>
      <t>Time attendence system: golive on 18-Jun -</t>
    </r>
    <r>
      <rPr>
        <sz val="11"/>
        <color rgb="FF00B050"/>
        <rFont val="Times New Roman"/>
        <family val="1"/>
      </rPr>
      <t xml:space="preserve"> Done</t>
    </r>
    <r>
      <rPr>
        <sz val="11"/>
        <color theme="1"/>
        <rFont val="Times New Roman"/>
        <family val="1"/>
      </rPr>
      <t xml:space="preserve">
Intergrate SAP B1 - Estimate complete on Sep</t>
    </r>
  </si>
  <si>
    <t>Move due date to Sep
Input timeline for each action in presentation</t>
  </si>
  <si>
    <t>Est Sep</t>
  </si>
  <si>
    <t>YTD: Reduce 61% based on NC in 2025</t>
  </si>
  <si>
    <t>Bình Đặng</t>
  </si>
  <si>
    <t>Continue follow up action plan for monitoring</t>
  </si>
  <si>
    <t>YTD: 4950kg RW FB due to FB
Reduce 87% based on RW FB 2025</t>
  </si>
  <si>
    <t>Strengthen &amp; monitoring action plan to Dec</t>
  </si>
  <si>
    <t>On going</t>
  </si>
  <si>
    <t>Monitoring to Dec</t>
  </si>
  <si>
    <r>
      <t xml:space="preserve">YTD: </t>
    </r>
    <r>
      <rPr>
        <sz val="11"/>
        <color rgb="FFFF0000"/>
        <rFont val="Times New Roman"/>
        <family val="1"/>
      </rPr>
      <t>3.14%</t>
    </r>
  </si>
  <si>
    <t>Follow up action plan to reach the target</t>
  </si>
  <si>
    <t>Nam Trần</t>
  </si>
  <si>
    <t>Collect data to create presentation</t>
  </si>
  <si>
    <t>List down activities completed
Collect data to verify saving achievement</t>
  </si>
  <si>
    <t>Re-use condensate water and bad Aroma to WWTP -  Ongoing</t>
  </si>
  <si>
    <t>Following action</t>
  </si>
  <si>
    <r>
      <rPr>
        <sz val="11"/>
        <color rgb="FF00B050"/>
        <rFont val="Times New Roman"/>
        <family val="1"/>
      </rPr>
      <t>Project completed</t>
    </r>
    <r>
      <rPr>
        <sz val="11"/>
        <color theme="1"/>
        <rFont val="Times New Roman"/>
        <family val="1"/>
      </rPr>
      <t xml:space="preserve">
Work with Utility to calculate the savings</t>
    </r>
  </si>
  <si>
    <r>
      <rPr>
        <sz val="11"/>
        <color rgb="FF00B050"/>
        <rFont val="Times New Roman"/>
        <family val="1"/>
      </rPr>
      <t>Project completed</t>
    </r>
    <r>
      <rPr>
        <sz val="11"/>
        <color theme="1"/>
        <rFont val="Times New Roman"/>
        <family val="1"/>
      </rPr>
      <t xml:space="preserve">
Work with FC to calculate the savings</t>
    </r>
  </si>
  <si>
    <t>Total Project</t>
  </si>
  <si>
    <t>Project charter</t>
  </si>
  <si>
    <t>Sponsored by HODs</t>
  </si>
  <si>
    <t>Signed</t>
  </si>
  <si>
    <t>Sponsored by a Thi</t>
  </si>
  <si>
    <t>ILD PROJECT TRACKING</t>
  </si>
  <si>
    <t>2/11</t>
  </si>
  <si>
    <t>0/17</t>
  </si>
  <si>
    <t>Department</t>
  </si>
  <si>
    <t>Summary</t>
  </si>
  <si>
    <t>Sponsor by</t>
  </si>
  <si>
    <t>Month</t>
  </si>
  <si>
    <t>HODs</t>
  </si>
  <si>
    <t>GD</t>
  </si>
  <si>
    <t>Sum</t>
  </si>
  <si>
    <t>Key Drivers</t>
  </si>
  <si>
    <t>No. of Project</t>
  </si>
  <si>
    <t>Completed Rate</t>
  </si>
  <si>
    <t>Output</t>
  </si>
  <si>
    <t>Cost</t>
  </si>
  <si>
    <t>People</t>
  </si>
  <si>
    <t>Compliance</t>
  </si>
  <si>
    <t>Customer complaint</t>
  </si>
  <si>
    <t>Safety</t>
  </si>
  <si>
    <t>Foundation</t>
  </si>
  <si>
    <t>Mar
Apr
May
Jun
Jul</t>
  </si>
  <si>
    <t>May
Jun
Jul</t>
  </si>
  <si>
    <t>Apr
May
Jun
Jul
Sep</t>
  </si>
  <si>
    <t>Mar
Apr
May
Jun
Jul
Sep</t>
  </si>
  <si>
    <t>Mar
Apr
May
Jun
Aug</t>
  </si>
  <si>
    <t>Jul
Sep</t>
  </si>
  <si>
    <t>Mar
Apr
May
Jun
Jul
Aug</t>
  </si>
  <si>
    <t>Reduce CIP time by installing a new tank to collect wastewater from Extraction CIP (Utility) 
Actual: Survey, SOW, PR =&gt;Done, ongoing next steps</t>
  </si>
  <si>
    <t>Zero error fire alarm issue
--&gt; Đã lên PR --&gt; Review -&gt; Lên PO trong tháng 5</t>
  </si>
  <si>
    <t>Reuse condensate  from process for WWTP - On going</t>
  </si>
  <si>
    <t>Zero coffee spent ground drop and release to environment (solid and wastewater)
- Thay băng tải 701 - Done
- Modify chương trình interlock băng tải khi vít tải 702 nghẹt - Done
- Đấu lại chương trình cho motto SC702 (Không chạy qua biến tần) - Done
- Set tần suất vệ sinh cho khu vực băng tải - Ongoing
--&gt; đã có PR/PO --&gt; tiếp tục follow up --&gt; đã có chương trình chờ kết nối --&gt; W21 done</t>
  </si>
  <si>
    <t>Fine tuning Grasso parameter --&gt; Trình bày trong meeting tháng 6</t>
  </si>
  <si>
    <t>Reduce RW generation
Late</t>
  </si>
  <si>
    <t>Install a new aroma tank 1m3 to ensure a smooth changeover without aroma contamination --&gt; waiting approval from  BODs</t>
  </si>
  <si>
    <t>Install filter before clarifier --&gt; Installed --&gt; nghẹt filter, cần review lại --&gt; change to the filter 500 micro. Est ~ đầu tháng 6
Connect sludge discharge from clarifiers to thin tank --&gt; propose phương án
Utilize current decanter from SGS area --&gt; trial progress</t>
  </si>
  <si>
    <r>
      <t xml:space="preserve">Reduce Maintenance time from 18 hrs to 16hrs 
</t>
    </r>
    <r>
      <rPr>
        <sz val="11"/>
        <color rgb="FF00B050"/>
        <rFont val="Times New Roman"/>
        <family val="1"/>
      </rPr>
      <t>Actual aintenance time in Jul: 16 hrs</t>
    </r>
  </si>
  <si>
    <t>Bị ảnh hưởng gần 3 hrs do thời gian chết khi chờ nhà thầu
--&gt; monitor thêm và chuẩn hóa maintenance activities</t>
  </si>
  <si>
    <t>Work with production to close the remaining Ext issue</t>
  </si>
  <si>
    <t>Pending</t>
  </si>
  <si>
    <t>Work with FC to get data the budget of spare part in 2025</t>
  </si>
  <si>
    <t>In details design phase</t>
  </si>
  <si>
    <t>Brainstorm next action</t>
  </si>
  <si>
    <r>
      <rPr>
        <sz val="11"/>
        <color rgb="FF00B050"/>
        <rFont val="Times New Roman"/>
        <family val="1"/>
      </rPr>
      <t>Completed</t>
    </r>
    <r>
      <rPr>
        <sz val="11"/>
        <color theme="1"/>
        <rFont val="Times New Roman"/>
        <family val="1"/>
      </rPr>
      <t xml:space="preserve">
Monitor city water saving in Quarter 3</t>
    </r>
  </si>
  <si>
    <r>
      <rPr>
        <sz val="11"/>
        <color rgb="FF00B050"/>
        <rFont val="Times New Roman"/>
        <family val="1"/>
      </rPr>
      <t>YTD: ~1.2%</t>
    </r>
    <r>
      <rPr>
        <sz val="11"/>
        <color theme="1"/>
        <rFont val="Times New Roman"/>
        <family val="1"/>
      </rPr>
      <t xml:space="preserve">
Final presentation &amp; showcase</t>
    </r>
  </si>
  <si>
    <t>No of Project</t>
  </si>
  <si>
    <t>Ongoing</t>
  </si>
  <si>
    <t>% Completed</t>
  </si>
  <si>
    <t>% Late</t>
  </si>
  <si>
    <t>% Ongoing</t>
  </si>
  <si>
    <t>QUARTERLY</t>
  </si>
  <si>
    <t>HALF YEAR</t>
  </si>
  <si>
    <t>FULL YEAR</t>
  </si>
  <si>
    <t>SUMMARY PROJECT 2026</t>
  </si>
  <si>
    <t>Completed Ontime</t>
  </si>
  <si>
    <t>% Completed Ontime</t>
  </si>
  <si>
    <t>Install after burner system to reduce CO in roaster air emission below 800 mg/Nm3</t>
  </si>
  <si>
    <r>
      <t xml:space="preserve">Install filter before clarifier </t>
    </r>
    <r>
      <rPr>
        <sz val="10"/>
        <color rgb="FFFF0000"/>
        <rFont val="Aptos Narrow"/>
        <family val="2"/>
        <scheme val="minor"/>
      </rPr>
      <t>--&gt; Installed --&gt; nghẹt filter, cần review lại --&gt; change to the filter 500 micro. Est ~ đầu tháng 6 --&gt;</t>
    </r>
    <r>
      <rPr>
        <sz val="10"/>
        <color rgb="FF00B050"/>
        <rFont val="Aptos Narrow"/>
        <family val="2"/>
        <scheme val="minor"/>
      </rPr>
      <t xml:space="preserve"> re-test ok</t>
    </r>
    <r>
      <rPr>
        <sz val="10"/>
        <color theme="1"/>
        <rFont val="Aptos Narrow"/>
        <family val="2"/>
        <scheme val="minor"/>
      </rPr>
      <t xml:space="preserve">
Connect sludge discharge from clarifiers to thin tank --&gt; </t>
    </r>
    <r>
      <rPr>
        <sz val="10"/>
        <color rgb="FFFF0000"/>
        <rFont val="Aptos Narrow"/>
        <family val="2"/>
        <scheme val="minor"/>
      </rPr>
      <t>propose phương án</t>
    </r>
    <r>
      <rPr>
        <sz val="10"/>
        <color theme="1"/>
        <rFont val="Aptos Narrow"/>
        <family val="2"/>
        <scheme val="minor"/>
      </rPr>
      <t xml:space="preserve">
Utilize current decanter from SGS area --&gt;</t>
    </r>
    <r>
      <rPr>
        <sz val="10"/>
        <color rgb="FFFF0000"/>
        <rFont val="Aptos Narrow"/>
        <family val="2"/>
        <scheme val="minor"/>
      </rPr>
      <t xml:space="preserve"> trial progress</t>
    </r>
  </si>
  <si>
    <r>
      <rPr>
        <sz val="10"/>
        <color rgb="FF000000"/>
        <rFont val="Aptos Narrow"/>
        <family val="2"/>
        <scheme val="minor"/>
      </rPr>
      <t xml:space="preserve">Re-use condensate water and bad Aroma to WWTP - </t>
    </r>
    <r>
      <rPr>
        <sz val="10"/>
        <color rgb="FFFF0000"/>
        <rFont val="Aptos Narrow"/>
        <family val="2"/>
        <scheme val="minor"/>
      </rPr>
      <t xml:space="preserve"> Ongoing</t>
    </r>
    <r>
      <rPr>
        <sz val="10"/>
        <color theme="1"/>
        <rFont val="Aptos Narrow"/>
        <family val="2"/>
        <scheme val="minor"/>
      </rPr>
      <t xml:space="preserve"> - Oct</t>
    </r>
  </si>
  <si>
    <r>
      <t xml:space="preserve">Zero error fire alarm issue
</t>
    </r>
    <r>
      <rPr>
        <sz val="10"/>
        <color rgb="FFFF0000"/>
        <rFont val="Aptos Narrow"/>
        <family val="2"/>
        <scheme val="minor"/>
      </rPr>
      <t>--&gt; Đã lên PR --&gt; Review -&gt; Lên PO trong tháng 5</t>
    </r>
    <r>
      <rPr>
        <sz val="10"/>
        <color theme="1"/>
        <rFont val="Aptos Narrow"/>
        <family val="2"/>
        <scheme val="minor"/>
      </rPr>
      <t xml:space="preserve"> - Sep</t>
    </r>
  </si>
  <si>
    <r>
      <rPr>
        <sz val="10"/>
        <color rgb="FF000000"/>
        <rFont val="Aptos Narrow"/>
        <family val="2"/>
        <scheme val="minor"/>
      </rPr>
      <t xml:space="preserve">Reuse condensate  from process for WWTP - </t>
    </r>
    <r>
      <rPr>
        <sz val="10"/>
        <color rgb="FFFF0000"/>
        <rFont val="Aptos Narrow"/>
        <family val="2"/>
        <scheme val="minor"/>
      </rPr>
      <t>On going</t>
    </r>
    <r>
      <rPr>
        <sz val="10"/>
        <color theme="1"/>
        <rFont val="Aptos Narrow"/>
        <family val="2"/>
        <scheme val="minor"/>
      </rPr>
      <t xml:space="preserve"> Oct</t>
    </r>
  </si>
  <si>
    <r>
      <rPr>
        <sz val="10"/>
        <color rgb="FF000000"/>
        <rFont val="Aptos Narrow"/>
        <family val="2"/>
        <scheme val="minor"/>
      </rPr>
      <t xml:space="preserve">Zero coffee spent ground drop and release to environment (solid and wastewater)
</t>
    </r>
    <r>
      <rPr>
        <sz val="10"/>
        <color rgb="FF00B050"/>
        <rFont val="Aptos Narrow"/>
        <family val="2"/>
        <scheme val="minor"/>
      </rPr>
      <t xml:space="preserve">- Thay băng tải 701 - Done
- Modify chương trình interlock băng tải khi vít tải 702 nghẹt - Done
- Đấu lại chương trình cho motto SC702 (Không chạy qua biến tần) - Done
</t>
    </r>
    <r>
      <rPr>
        <sz val="10"/>
        <color rgb="FFFFFF00"/>
        <rFont val="Aptos Narrow"/>
        <family val="2"/>
        <scheme val="minor"/>
      </rPr>
      <t>-</t>
    </r>
    <r>
      <rPr>
        <sz val="10"/>
        <color rgb="FFFF0000"/>
        <rFont val="Aptos Narrow"/>
        <family val="2"/>
        <scheme val="minor"/>
      </rPr>
      <t xml:space="preserve"> Set tần suất vệ sinh cho khu vực băng tải - Ongoing
</t>
    </r>
    <r>
      <rPr>
        <sz val="10"/>
        <color rgb="FF000000"/>
        <rFont val="Aptos Narrow"/>
        <family val="2"/>
        <scheme val="minor"/>
      </rPr>
      <t xml:space="preserve">--&gt; </t>
    </r>
    <r>
      <rPr>
        <sz val="10"/>
        <color rgb="FFFF0000"/>
        <rFont val="Aptos Narrow"/>
        <family val="2"/>
        <scheme val="minor"/>
      </rPr>
      <t>đã có PR/PO --&gt; tiếp tục follow up --&gt; đã có chương trình chờ kết nối --&gt; W21 done</t>
    </r>
  </si>
  <si>
    <r>
      <t>Install a new aroma tank 1m3 to ensure a smooth changeover without aroma contamination --&gt;</t>
    </r>
    <r>
      <rPr>
        <sz val="10"/>
        <color rgb="FFFF0000"/>
        <rFont val="Aptos Narrow"/>
        <family val="2"/>
        <scheme val="minor"/>
      </rPr>
      <t xml:space="preserve"> waiting approval from  BODs</t>
    </r>
    <r>
      <rPr>
        <sz val="10"/>
        <color theme="1"/>
        <rFont val="Aptos Narrow"/>
        <family val="2"/>
        <scheme val="minor"/>
      </rPr>
      <t xml:space="preserve"> --&gt; Oct</t>
    </r>
  </si>
  <si>
    <t>Revisit &amp; Reduce OPL 2025
Create/update the operations std
--&gt; Action pending
Average: Jan to May: 3.14%</t>
  </si>
  <si>
    <t>Increase capacity of Devex line to 780 kgs/h
--&gt; Actual: 760 kg/hr</t>
  </si>
  <si>
    <t>Increase cell load from 395 -&gt; 400 Actual: 400 (Done)
Reduce cycle time from 19 -&gt; 17  Actual: 18 mins (On going) -Done 
Increase Evap running time from 32 hrs to 48 hrs Actual: 40 hrs (Done)</t>
  </si>
  <si>
    <t>Reduce Monthly Planned Stop at Extraction from 46 hours to 38 hours
MTD: 42,5 hrs</t>
  </si>
  <si>
    <t>Reduce EXT CIP from 16 hours to 14 hours. Actual: 16 (On going)
- CIP program 10 cell thay cho CIP 5 cell/1 lần - Done
- Trial CIP không tháo Bottom Filter  -Done
- Các task tháo mở top filter, thiết bị để CIP -&gt; Phối hợp bảo trì để làm nhanh nhất có thể.
Reduce Pressure Test &amp; Start up from 12hrs to 8 hours. Actual 11 hrs (On going)
- Trial Pressure test bằng Steam, thay bằng nước- đã trial 1 lần vào tháng 2 -Done
- Tăng cường nhân lực kiểm tra trong quá trình thay ống và valve để giảm mistake.</t>
  </si>
  <si>
    <t>Sustain yield 60.5%
Sustain: 60.5%</t>
  </si>
  <si>
    <t>Re-visit &amp; reduce OPL 2025 of Extraction
Top 3 issues:
1. Bottom filter blockage 
- Plan thay ống định kỳ hàng tháng - opimize lại plan thay ống hiệu quả. Phối hợp với MT cùng nhau work trong ngày shutdown
2. SE &amp; PE filter are blockage
- SE: Gắn thêm đường ống song song  - có thể chạy by pass
- PE: Gắn thêm 1 Rotary Fillter  -&gt;  swith chạy qua lại -&gt; Giảm downtime. (Pending )
- PE: Gắn đường ống say Rotary valve lớn hơn, Gắn đường nước rửa cho lọc + đường ống PE sau lọc -Done
3. Piping blockage of the end of cycle
- Plan thay ống định kỳ hàng tháng - opimize lại plan thay ống hiệu quả. Phối hợp với MT cùng nhau work trong ngày shutdown</t>
  </si>
  <si>
    <t>Reduce Monthly Planned Stop at Extraction from 46 hours to 38 hours
MTD: 17 hrs</t>
  </si>
  <si>
    <r>
      <t xml:space="preserve">YTD: </t>
    </r>
    <r>
      <rPr>
        <sz val="11"/>
        <color rgb="FF00B050"/>
        <rFont val="Times New Roman"/>
        <family val="1"/>
      </rPr>
      <t>2.45%</t>
    </r>
  </si>
  <si>
    <r>
      <t xml:space="preserve">YTD: </t>
    </r>
    <r>
      <rPr>
        <sz val="11"/>
        <color rgb="FFFF0000"/>
        <rFont val="Times New Roman"/>
        <family val="1"/>
      </rPr>
      <t>~47 hrs</t>
    </r>
    <r>
      <rPr>
        <sz val="11"/>
        <color theme="1"/>
        <rFont val="Times New Roman"/>
        <family val="1"/>
      </rPr>
      <t xml:space="preserve">
Cần liệt kê top 3 issues và % impact đến PS o EXT từ đó đưa ra action để improve
Các phương án đề xuất cải tiến cần được align với các bộ phận liên quan trước khi propose lên.</t>
    </r>
  </si>
  <si>
    <r>
      <t xml:space="preserve">
YTD: </t>
    </r>
    <r>
      <rPr>
        <sz val="11"/>
        <color rgb="FFFF0000"/>
        <rFont val="Times New Roman"/>
        <family val="1"/>
      </rPr>
      <t>790</t>
    </r>
    <r>
      <rPr>
        <sz val="11"/>
        <color theme="1"/>
        <rFont val="Times New Roman"/>
        <family val="1"/>
      </rPr>
      <t xml:space="preserve">
Cần liệt kê top 3 issues và % impact đến Capacity EXT từ đó đưa ra action để improve
Xem lại các yếu tố thực sự ảnh hưởng đến Ext Capacity và &amp; impacted</t>
    </r>
  </si>
  <si>
    <r>
      <t xml:space="preserve">
YTD: </t>
    </r>
    <r>
      <rPr>
        <sz val="11"/>
        <color rgb="FFFF0000"/>
        <rFont val="Times New Roman"/>
        <family val="1"/>
      </rPr>
      <t>790</t>
    </r>
    <r>
      <rPr>
        <sz val="11"/>
        <color theme="1"/>
        <rFont val="Times New Roman"/>
        <family val="1"/>
      </rPr>
      <t xml:space="preserve">
Cần liệt kê top 3 issues và % impact đến Ext Yield từ đó đưa ra action để improve
Tính toán % Ext Yield = Est Dry Yield để đánh giá sự ảnh hưởng.
Xem lại các yếu tố thực sự ảnh hưởng đến Ext Yield</t>
    </r>
  </si>
  <si>
    <r>
      <t xml:space="preserve">YTD: </t>
    </r>
    <r>
      <rPr>
        <sz val="11"/>
        <color rgb="FF00B050"/>
        <rFont val="Times New Roman"/>
        <family val="1"/>
      </rPr>
      <t>15 hrs</t>
    </r>
    <r>
      <rPr>
        <sz val="11"/>
        <color theme="1"/>
        <rFont val="Times New Roman"/>
        <family val="1"/>
      </rPr>
      <t xml:space="preserve">
Cần phối hợp với Prod và Planner để adjust plan phù hợp, tránh thời gian dừng chờ lãng phí
Ngoài thời gian cần đạt được, cũng cần focus vào chất lượng bảo trì để tránh bị issue khi restart.</t>
    </r>
  </si>
  <si>
    <r>
      <t>Reduce</t>
    </r>
    <r>
      <rPr>
        <sz val="11"/>
        <color rgb="FF00B050"/>
        <rFont val="Times New Roman"/>
        <family val="1"/>
      </rPr>
      <t xml:space="preserve"> unplanned stops by ~50%</t>
    </r>
    <r>
      <rPr>
        <sz val="11"/>
        <color theme="1"/>
        <rFont val="Times New Roman"/>
        <family val="1"/>
      </rPr>
      <t xml:space="preserve"> compared to 2025
Listdown before/after và % contribution của từng action để đánh giá mức độ hiệu quả</t>
    </r>
  </si>
  <si>
    <r>
      <t xml:space="preserve">Reduce Spare part cost of Ext and transport system </t>
    </r>
    <r>
      <rPr>
        <sz val="11"/>
        <color rgb="FF00B050"/>
        <rFont val="Times New Roman"/>
        <family val="1"/>
      </rPr>
      <t>~20%</t>
    </r>
    <r>
      <rPr>
        <sz val="11"/>
        <color theme="1"/>
        <rFont val="Times New Roman"/>
        <family val="1"/>
      </rPr>
      <t xml:space="preserve">
Reduce spare part inventory </t>
    </r>
    <r>
      <rPr>
        <sz val="11"/>
        <color rgb="FF00B050"/>
        <rFont val="Times New Roman"/>
        <family val="1"/>
      </rPr>
      <t>~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</si>
</sst>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Aptos Narrow"/>
      <family val="2"/>
      <scheme val="minor"/>
    </font>
    <font>
      <b/>
      <sz val="11"/>
      <color theme="1"/>
      <name val="Aptos Narrow"/>
      <family val="2"/>
      <scheme val="minor"/>
    </font>
    <font>
      <b/>
      <sz val="10"/>
      <color theme="1"/>
      <name val="Aptos Narrow"/>
      <family val="2"/>
      <scheme val="minor"/>
    </font>
    <font>
      <sz val="10"/>
      <color theme="1"/>
      <name val="Aptos Narrow"/>
      <family val="2"/>
      <scheme val="minor"/>
    </font>
    <font>
      <b/>
      <sz val="9"/>
      <color theme="1"/>
      <name val="Aptos Narrow"/>
      <family val="2"/>
      <scheme val="minor"/>
    </font>
    <font>
      <sz val="10"/>
      <color rgb="FFFF0000"/>
      <name val="Aptos Narrow"/>
      <family val="2"/>
      <scheme val="minor"/>
    </font>
    <font>
      <sz val="10"/>
      <name val="Aptos Narrow"/>
      <family val="2"/>
      <scheme val="minor"/>
    </font>
    <font>
      <sz val="8"/>
      <name val="Aptos Narrow"/>
      <family val="2"/>
      <scheme val="minor"/>
    </font>
    <font>
      <b/>
      <sz val="14"/>
      <color theme="1"/>
      <name val="Aptos Narrow"/>
      <family val="2"/>
      <scheme val="minor"/>
    </font>
    <font>
      <b/>
      <sz val="18"/>
      <color theme="0"/>
      <name val="Times New Roman"/>
      <family val="1"/>
    </font>
    <font>
      <sz val="11"/>
      <color theme="1"/>
      <name val="Times New Roman"/>
      <family val="1"/>
    </font>
    <font>
      <b/>
      <sz val="14"/>
      <color theme="1"/>
      <name val="Times New Roman"/>
      <family val="1"/>
    </font>
    <font>
      <sz val="11"/>
      <color rgb="FFFF0000"/>
      <name val="Times New Roman"/>
      <family val="1"/>
    </font>
    <font>
      <sz val="11"/>
      <name val="Times New Roman"/>
      <family val="1"/>
    </font>
    <font>
      <sz val="10"/>
      <color rgb="FF00B050"/>
      <name val="Aptos Narrow"/>
      <family val="2"/>
      <scheme val="minor"/>
    </font>
    <font>
      <sz val="10"/>
      <color rgb="FFFFC000"/>
      <name val="Aptos Narrow"/>
      <family val="2"/>
      <scheme val="minor"/>
    </font>
    <font>
      <sz val="10"/>
      <color rgb="FF000000"/>
      <name val="Aptos Narrow"/>
      <family val="2"/>
      <scheme val="minor"/>
    </font>
    <font>
      <sz val="10"/>
      <color rgb="FF0000FF"/>
      <name val="Aptos Narrow"/>
      <family val="2"/>
      <scheme val="minor"/>
    </font>
    <font>
      <b/>
      <sz val="9"/>
      <color indexed="81"/>
      <name val="Tahoma"/>
      <family val="2"/>
    </font>
    <font>
      <sz val="9"/>
      <color indexed="81"/>
      <name val="Tahoma"/>
      <family val="2"/>
    </font>
    <font>
      <sz val="10"/>
      <color rgb="FF0070C0"/>
      <name val="Aptos Narrow"/>
      <family val="2"/>
      <scheme val="minor"/>
    </font>
    <font>
      <b/>
      <sz val="10"/>
      <color rgb="FF0070C0"/>
      <name val="Aptos Narrow"/>
      <family val="2"/>
      <scheme val="minor"/>
    </font>
    <font>
      <i/>
      <sz val="10"/>
      <color rgb="FFFF0000"/>
      <name val="Aptos Narrow"/>
      <family val="2"/>
      <scheme val="minor"/>
    </font>
    <font>
      <b/>
      <sz val="10"/>
      <color rgb="FF00B050"/>
      <name val="Aptos Narrow"/>
      <family val="2"/>
      <scheme val="minor"/>
    </font>
    <font>
      <b/>
      <sz val="10"/>
      <name val="Aptos Narrow"/>
      <family val="2"/>
      <scheme val="minor"/>
    </font>
    <font>
      <sz val="11"/>
      <color rgb="FF00B050"/>
      <name val="Times New Roman"/>
      <family val="1"/>
    </font>
    <font>
      <b/>
      <u/>
      <sz val="11"/>
      <color theme="1"/>
      <name val="Times New Roman"/>
      <family val="1"/>
    </font>
    <font>
      <b/>
      <u/>
      <sz val="11"/>
      <color rgb="FF000000"/>
      <name val="Times New Roman"/>
      <family val="1"/>
    </font>
    <font>
      <sz val="11"/>
      <color rgb="FF000000"/>
      <name val="Times New Roman"/>
      <family val="1"/>
    </font>
    <font>
      <b/>
      <sz val="11"/>
      <color theme="0"/>
      <name val="Aptos Narrow"/>
      <family val="2"/>
      <scheme val="minor"/>
    </font>
    <font>
      <b/>
      <sz val="18"/>
      <color theme="0"/>
      <name val="Aptos Narrow"/>
      <family val="2"/>
      <scheme val="minor"/>
    </font>
    <font>
      <b/>
      <sz val="11"/>
      <color rgb="FF00B050"/>
      <name val="Times New Roman"/>
      <family val="1"/>
    </font>
    <font>
      <b/>
      <sz val="11"/>
      <color theme="1"/>
      <name val="Times New Roman"/>
      <family val="1"/>
    </font>
    <font>
      <sz val="10"/>
      <color rgb="FFFFFF00"/>
      <name val="Aptos Narrow"/>
      <family val="2"/>
      <scheme val="minor"/>
    </font>
    <font>
      <sz val="11"/>
      <color theme="1"/>
      <name val="Aptos Narrow"/>
      <family val="2"/>
      <scheme val="minor"/>
    </font>
    <font>
      <sz val="14"/>
      <color theme="1"/>
      <name val="Aptos Narrow"/>
      <family val="2"/>
      <scheme val="minor"/>
    </font>
    <font>
      <sz val="16"/>
      <color theme="1"/>
      <name val="Aptos Narrow"/>
      <family val="2"/>
      <scheme val="minor"/>
    </font>
    <font>
      <b/>
      <sz val="18"/>
      <color theme="1"/>
      <name val="Aptos Narrow"/>
      <family val="2"/>
      <scheme val="minor"/>
    </font>
    <font>
      <b/>
      <sz val="14"/>
      <color theme="0"/>
      <name val="Aptos Narrow"/>
      <family val="2"/>
      <scheme val="minor"/>
    </font>
  </fonts>
  <fills count="24">
    <fill>
      <patternFill patternType="none"/>
    </fill>
    <fill>
      <patternFill patternType="gray125"/>
    </fill>
    <fill>
      <patternFill patternType="solid">
        <fgColor theme="5" tint="0.39997558519241921"/>
        <bgColor indexed="64"/>
      </patternFill>
    </fill>
    <fill>
      <patternFill patternType="solid">
        <fgColor theme="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0000"/>
        <bgColor indexed="64"/>
      </patternFill>
    </fill>
    <fill>
      <patternFill patternType="solid">
        <fgColor theme="1" tint="0.499984740745262"/>
        <bgColor indexed="64"/>
      </patternFill>
    </fill>
    <fill>
      <patternFill patternType="solid">
        <fgColor rgb="FF0070C0"/>
        <bgColor indexed="64"/>
      </patternFill>
    </fill>
    <fill>
      <patternFill patternType="solid">
        <fgColor rgb="FF00B050"/>
        <bgColor indexed="64"/>
      </patternFill>
    </fill>
    <fill>
      <patternFill patternType="solid">
        <fgColor theme="6" tint="0.59999389629810485"/>
        <bgColor indexed="64"/>
      </patternFill>
    </fill>
    <fill>
      <patternFill patternType="solid">
        <fgColor theme="5"/>
        <bgColor indexed="64"/>
      </patternFill>
    </fill>
    <fill>
      <patternFill patternType="solid">
        <fgColor rgb="FF00B0F0"/>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34998626667073579"/>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medium">
        <color indexed="64"/>
      </left>
      <right/>
      <top style="thin">
        <color indexed="64"/>
      </top>
      <bottom/>
      <diagonal/>
    </border>
  </borders>
  <cellStyleXfs count="2">
    <xf numFmtId="0" fontId="0" fillId="0" borderId="0"/>
    <xf numFmtId="9" fontId="34" fillId="0" borderId="0" applyFont="0" applyFill="0" applyBorder="0" applyAlignment="0" applyProtection="0"/>
  </cellStyleXfs>
  <cellXfs count="296">
    <xf numFmtId="0" fontId="0" fillId="0" borderId="0" xfId="0"/>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2" fillId="3" borderId="1" xfId="0" applyFont="1" applyFill="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applyAlignment="1">
      <alignment horizontal="center" vertical="center"/>
    </xf>
    <xf numFmtId="0" fontId="1" fillId="3" borderId="1" xfId="0" applyFont="1" applyFill="1" applyBorder="1" applyAlignment="1">
      <alignment horizontal="left" vertical="center" wrapText="1"/>
    </xf>
    <xf numFmtId="9" fontId="1" fillId="4" borderId="1" xfId="0" applyNumberFormat="1" applyFont="1" applyFill="1" applyBorder="1" applyAlignment="1">
      <alignment horizontal="center" vertical="center" wrapText="1"/>
    </xf>
    <xf numFmtId="9" fontId="3" fillId="3" borderId="1" xfId="0" applyNumberFormat="1" applyFont="1" applyFill="1" applyBorder="1" applyAlignment="1">
      <alignment horizontal="center" vertical="center" wrapText="1"/>
    </xf>
    <xf numFmtId="0" fontId="0" fillId="0" borderId="1" xfId="0"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3" xfId="0" applyBorder="1" applyAlignment="1">
      <alignment vertical="center"/>
    </xf>
    <xf numFmtId="0" fontId="1" fillId="0" borderId="0" xfId="0" applyFont="1" applyAlignment="1">
      <alignment horizontal="left" vertical="center"/>
    </xf>
    <xf numFmtId="0" fontId="0" fillId="0" borderId="0" xfId="0" applyAlignment="1">
      <alignment vertical="center"/>
    </xf>
    <xf numFmtId="0" fontId="1" fillId="0" borderId="2" xfId="0" applyFont="1" applyBorder="1" applyAlignment="1">
      <alignment vertical="center"/>
    </xf>
    <xf numFmtId="0" fontId="3" fillId="3" borderId="1" xfId="0" applyFont="1" applyFill="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3" xfId="0" applyFont="1" applyBorder="1" applyAlignment="1">
      <alignment vertical="center"/>
    </xf>
    <xf numFmtId="0" fontId="3" fillId="0" borderId="0" xfId="0" applyFont="1"/>
    <xf numFmtId="0" fontId="3" fillId="3" borderId="6" xfId="0" applyFont="1" applyFill="1" applyBorder="1" applyAlignment="1">
      <alignment horizontal="center" vertical="center" wrapText="1"/>
    </xf>
    <xf numFmtId="0" fontId="3" fillId="3" borderId="6" xfId="0" applyFont="1" applyFill="1" applyBorder="1" applyAlignment="1">
      <alignment horizontal="left" vertical="center" wrapText="1"/>
    </xf>
    <xf numFmtId="0" fontId="0" fillId="0" borderId="4" xfId="0" applyBorder="1" applyAlignment="1">
      <alignment horizontal="center" vertical="center"/>
    </xf>
    <xf numFmtId="0" fontId="3" fillId="0" borderId="4" xfId="0" applyFont="1" applyBorder="1" applyAlignment="1">
      <alignment horizontal="center" vertical="center"/>
    </xf>
    <xf numFmtId="0" fontId="3" fillId="3" borderId="6" xfId="0" applyFont="1" applyFill="1" applyBorder="1" applyAlignment="1">
      <alignment horizontal="center" vertical="center"/>
    </xf>
    <xf numFmtId="0" fontId="0" fillId="0" borderId="9" xfId="0" applyBorder="1" applyAlignment="1">
      <alignment horizontal="center" vertical="center"/>
    </xf>
    <xf numFmtId="0" fontId="1" fillId="2" borderId="16"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0" fillId="0" borderId="0" xfId="0" applyAlignment="1">
      <alignment horizontal="center"/>
    </xf>
    <xf numFmtId="0" fontId="3" fillId="0" borderId="1" xfId="0" applyFont="1" applyBorder="1" applyAlignment="1">
      <alignment horizontal="left" vertical="center" wrapText="1"/>
    </xf>
    <xf numFmtId="0" fontId="0" fillId="0" borderId="7"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6" fillId="3" borderId="1" xfId="0" applyFont="1" applyFill="1" applyBorder="1" applyAlignment="1">
      <alignment horizontal="left" vertical="center" wrapText="1"/>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16" fontId="0" fillId="6" borderId="1" xfId="0" quotePrefix="1" applyNumberFormat="1" applyFill="1" applyBorder="1" applyAlignment="1">
      <alignment horizontal="center" vertical="center"/>
    </xf>
    <xf numFmtId="0" fontId="0" fillId="7" borderId="1" xfId="0" applyFill="1" applyBorder="1" applyAlignment="1">
      <alignment horizontal="center" vertical="center"/>
    </xf>
    <xf numFmtId="0" fontId="0" fillId="7" borderId="1" xfId="0" quotePrefix="1" applyFill="1" applyBorder="1" applyAlignment="1">
      <alignment horizontal="center" vertical="center"/>
    </xf>
    <xf numFmtId="0" fontId="1" fillId="8" borderId="1" xfId="0" applyFont="1" applyFill="1" applyBorder="1" applyAlignment="1">
      <alignment horizontal="center" vertical="center"/>
    </xf>
    <xf numFmtId="0" fontId="0" fillId="4" borderId="1" xfId="0" applyFill="1" applyBorder="1" applyAlignment="1">
      <alignment horizontal="center" vertical="center"/>
    </xf>
    <xf numFmtId="0" fontId="3" fillId="3" borderId="11" xfId="0" applyFont="1" applyFill="1" applyBorder="1" applyAlignment="1">
      <alignment horizontal="left" vertical="center" wrapText="1"/>
    </xf>
    <xf numFmtId="3" fontId="2" fillId="4" borderId="20" xfId="0" applyNumberFormat="1" applyFont="1" applyFill="1" applyBorder="1" applyAlignment="1">
      <alignment horizontal="center" vertical="center" wrapText="1"/>
    </xf>
    <xf numFmtId="0" fontId="2" fillId="3" borderId="11" xfId="0" applyFont="1" applyFill="1" applyBorder="1" applyAlignment="1">
      <alignment horizontal="left" vertical="center" wrapText="1"/>
    </xf>
    <xf numFmtId="0" fontId="2" fillId="4" borderId="11" xfId="0" applyFont="1" applyFill="1" applyBorder="1" applyAlignment="1">
      <alignment horizontal="center" vertical="center" wrapText="1"/>
    </xf>
    <xf numFmtId="0" fontId="1" fillId="4" borderId="1" xfId="0" applyFont="1" applyFill="1" applyBorder="1" applyAlignment="1">
      <alignment horizontal="center" vertical="center" wrapText="1"/>
    </xf>
    <xf numFmtId="9" fontId="2" fillId="4" borderId="1" xfId="0" applyNumberFormat="1" applyFont="1" applyFill="1" applyBorder="1" applyAlignment="1">
      <alignment horizontal="center" vertical="center" wrapText="1"/>
    </xf>
    <xf numFmtId="0" fontId="2" fillId="3" borderId="20" xfId="0" applyFont="1" applyFill="1" applyBorder="1" applyAlignment="1">
      <alignment vertical="center" wrapText="1"/>
    </xf>
    <xf numFmtId="0" fontId="2" fillId="3" borderId="12" xfId="0" applyFont="1" applyFill="1" applyBorder="1" applyAlignment="1">
      <alignment vertical="center" wrapText="1"/>
    </xf>
    <xf numFmtId="0" fontId="2" fillId="3" borderId="11" xfId="0" applyFont="1" applyFill="1" applyBorder="1" applyAlignment="1">
      <alignment vertical="center" wrapText="1"/>
    </xf>
    <xf numFmtId="0" fontId="1" fillId="3" borderId="1" xfId="0" applyFont="1" applyFill="1" applyBorder="1" applyAlignment="1">
      <alignment vertical="center" wrapText="1"/>
    </xf>
    <xf numFmtId="0" fontId="2" fillId="3" borderId="1" xfId="0" applyFont="1" applyFill="1" applyBorder="1" applyAlignment="1">
      <alignment vertical="center" wrapText="1"/>
    </xf>
    <xf numFmtId="0" fontId="3" fillId="3" borderId="11" xfId="0" applyFont="1" applyFill="1" applyBorder="1" applyAlignment="1">
      <alignment vertical="center" wrapText="1"/>
    </xf>
    <xf numFmtId="0" fontId="3" fillId="3" borderId="1" xfId="0" applyFont="1" applyFill="1" applyBorder="1" applyAlignment="1">
      <alignment vertical="center" wrapText="1"/>
    </xf>
    <xf numFmtId="3" fontId="2" fillId="4"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xf>
    <xf numFmtId="0" fontId="0" fillId="0" borderId="1" xfId="0" applyBorder="1"/>
    <xf numFmtId="0" fontId="1" fillId="6"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10" fillId="0" borderId="0" xfId="0" applyFont="1"/>
    <xf numFmtId="0" fontId="11" fillId="6" borderId="1" xfId="0" applyFont="1" applyFill="1" applyBorder="1" applyAlignment="1">
      <alignment horizontal="center" vertical="center"/>
    </xf>
    <xf numFmtId="0" fontId="10" fillId="0" borderId="1" xfId="0" applyFont="1" applyBorder="1" applyAlignment="1">
      <alignment horizontal="center" vertical="center"/>
    </xf>
    <xf numFmtId="16" fontId="10" fillId="0" borderId="1" xfId="0" applyNumberFormat="1" applyFont="1" applyBorder="1" applyAlignment="1">
      <alignment horizontal="center" vertical="center"/>
    </xf>
    <xf numFmtId="0" fontId="10" fillId="0" borderId="0" xfId="0" applyFont="1" applyAlignment="1">
      <alignment horizontal="center" vertical="center"/>
    </xf>
    <xf numFmtId="0" fontId="10" fillId="3" borderId="6" xfId="0" applyFont="1" applyFill="1" applyBorder="1" applyAlignment="1">
      <alignment horizontal="left" vertical="center" wrapText="1"/>
    </xf>
    <xf numFmtId="0" fontId="10" fillId="3" borderId="6" xfId="0" applyFont="1" applyFill="1" applyBorder="1" applyAlignment="1">
      <alignment horizontal="center" vertical="center"/>
    </xf>
    <xf numFmtId="0" fontId="10" fillId="3" borderId="1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center" vertical="center"/>
    </xf>
    <xf numFmtId="0" fontId="10" fillId="3" borderId="11" xfId="0" applyFont="1" applyFill="1" applyBorder="1" applyAlignment="1">
      <alignment vertical="center" wrapText="1"/>
    </xf>
    <xf numFmtId="0" fontId="10" fillId="3" borderId="1" xfId="0" applyFont="1" applyFill="1" applyBorder="1" applyAlignment="1">
      <alignment vertical="center" wrapText="1"/>
    </xf>
    <xf numFmtId="0" fontId="10" fillId="0" borderId="1" xfId="0" applyFont="1" applyBorder="1" applyAlignment="1">
      <alignment horizontal="left" vertical="center" wrapText="1"/>
    </xf>
    <xf numFmtId="0" fontId="13" fillId="3" borderId="1" xfId="0" applyFont="1" applyFill="1" applyBorder="1" applyAlignment="1">
      <alignment horizontal="left" vertical="center" wrapText="1"/>
    </xf>
    <xf numFmtId="0" fontId="10" fillId="0" borderId="11" xfId="0" applyFont="1" applyBorder="1" applyAlignment="1">
      <alignment horizontal="left" vertical="center" wrapText="1"/>
    </xf>
    <xf numFmtId="0" fontId="16" fillId="3" borderId="1" xfId="0" applyFont="1" applyFill="1" applyBorder="1" applyAlignment="1">
      <alignment horizontal="left" vertical="center" wrapText="1"/>
    </xf>
    <xf numFmtId="0" fontId="2" fillId="3" borderId="6" xfId="0" applyFont="1" applyFill="1" applyBorder="1" applyAlignment="1">
      <alignment vertical="center" wrapText="1"/>
    </xf>
    <xf numFmtId="0" fontId="10" fillId="0" borderId="1" xfId="0" applyFont="1" applyBorder="1"/>
    <xf numFmtId="0" fontId="10"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9"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0" fillId="0" borderId="11" xfId="0" applyFont="1" applyBorder="1" applyAlignment="1">
      <alignment horizontal="center" vertical="center"/>
    </xf>
    <xf numFmtId="16" fontId="10" fillId="0" borderId="11" xfId="0" applyNumberFormat="1" applyFont="1" applyBorder="1" applyAlignment="1">
      <alignment horizontal="center" vertical="center"/>
    </xf>
    <xf numFmtId="0" fontId="10" fillId="3" borderId="11" xfId="0" applyFont="1" applyFill="1" applyBorder="1" applyAlignment="1">
      <alignment horizontal="center" vertical="center"/>
    </xf>
    <xf numFmtId="0" fontId="10" fillId="0" borderId="11" xfId="0" applyFont="1" applyBorder="1" applyAlignment="1">
      <alignment horizontal="center" vertical="center" wrapText="1"/>
    </xf>
    <xf numFmtId="0" fontId="10" fillId="0" borderId="6" xfId="0" applyFont="1" applyBorder="1" applyAlignment="1">
      <alignment horizontal="center" vertical="center"/>
    </xf>
    <xf numFmtId="0" fontId="10" fillId="3" borderId="6" xfId="0" applyFont="1" applyFill="1" applyBorder="1" applyAlignment="1">
      <alignment vertical="center" wrapText="1"/>
    </xf>
    <xf numFmtId="0" fontId="10" fillId="0" borderId="6" xfId="0" applyFont="1" applyBorder="1" applyAlignment="1">
      <alignment horizontal="center" vertical="center" wrapText="1"/>
    </xf>
    <xf numFmtId="0" fontId="10" fillId="0" borderId="6" xfId="0" applyFont="1" applyBorder="1" applyAlignment="1">
      <alignment horizontal="left" vertical="center" wrapText="1"/>
    </xf>
    <xf numFmtId="17"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 fillId="9" borderId="1" xfId="0" applyFont="1" applyFill="1" applyBorder="1" applyAlignment="1">
      <alignment horizontal="center"/>
    </xf>
    <xf numFmtId="0" fontId="29" fillId="13" borderId="1" xfId="0" applyFont="1" applyFill="1" applyBorder="1" applyAlignment="1">
      <alignment horizontal="center" vertical="center"/>
    </xf>
    <xf numFmtId="0" fontId="1" fillId="0" borderId="13" xfId="0" applyFont="1" applyBorder="1" applyAlignment="1">
      <alignment vertical="center"/>
    </xf>
    <xf numFmtId="0" fontId="1" fillId="0" borderId="10" xfId="0" applyFont="1" applyBorder="1" applyAlignment="1">
      <alignment vertical="center"/>
    </xf>
    <xf numFmtId="0" fontId="1" fillId="0" borderId="2" xfId="0" applyFont="1" applyBorder="1" applyAlignment="1">
      <alignment vertical="center" wrapText="1"/>
    </xf>
    <xf numFmtId="0" fontId="1" fillId="0" borderId="7" xfId="0" applyFont="1" applyBorder="1" applyAlignment="1">
      <alignment vertical="center"/>
    </xf>
    <xf numFmtId="0" fontId="3" fillId="0" borderId="1" xfId="0" applyFont="1" applyBorder="1" applyAlignment="1">
      <alignment horizontal="center" vertical="center" wrapText="1"/>
    </xf>
    <xf numFmtId="0" fontId="3" fillId="3" borderId="12" xfId="0" applyFont="1" applyFill="1" applyBorder="1" applyAlignment="1">
      <alignment horizontal="center" vertical="center" wrapText="1"/>
    </xf>
    <xf numFmtId="0" fontId="1" fillId="0" borderId="1" xfId="0" applyFont="1" applyBorder="1" applyAlignment="1">
      <alignment vertical="center"/>
    </xf>
    <xf numFmtId="0" fontId="0" fillId="12" borderId="0" xfId="0" applyFill="1"/>
    <xf numFmtId="0" fontId="31" fillId="0" borderId="1" xfId="0" applyFont="1" applyBorder="1" applyAlignment="1">
      <alignment horizontal="left" vertical="center" wrapText="1"/>
    </xf>
    <xf numFmtId="0" fontId="3" fillId="0" borderId="6" xfId="0" applyFont="1" applyBorder="1" applyAlignment="1">
      <alignment horizontal="center" vertical="center"/>
    </xf>
    <xf numFmtId="3" fontId="2" fillId="4" borderId="11" xfId="0" applyNumberFormat="1" applyFont="1" applyFill="1" applyBorder="1" applyAlignment="1">
      <alignment horizontal="center" vertical="center" wrapText="1"/>
    </xf>
    <xf numFmtId="0" fontId="1" fillId="3" borderId="11" xfId="0" applyFont="1" applyFill="1" applyBorder="1" applyAlignment="1">
      <alignment vertical="center" wrapText="1"/>
    </xf>
    <xf numFmtId="0" fontId="2" fillId="0" borderId="11" xfId="0" applyFont="1" applyBorder="1" applyAlignment="1">
      <alignment horizontal="center" vertical="center" wrapText="1"/>
    </xf>
    <xf numFmtId="16" fontId="10" fillId="9" borderId="1"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16" fontId="10" fillId="0" borderId="1" xfId="0" applyNumberFormat="1" applyFont="1" applyBorder="1" applyAlignment="1">
      <alignment horizontal="center" vertical="center" wrapText="1"/>
    </xf>
    <xf numFmtId="16" fontId="10" fillId="0" borderId="11" xfId="0" applyNumberFormat="1" applyFont="1" applyBorder="1" applyAlignment="1">
      <alignment horizontal="center" vertical="center" wrapText="1"/>
    </xf>
    <xf numFmtId="16" fontId="10" fillId="0" borderId="6" xfId="0" applyNumberFormat="1" applyFont="1" applyBorder="1" applyAlignment="1">
      <alignment horizontal="center" vertical="center" wrapText="1"/>
    </xf>
    <xf numFmtId="0" fontId="1" fillId="2" borderId="15"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0" fillId="0" borderId="0" xfId="0" applyAlignment="1">
      <alignment horizontal="center" wrapText="1"/>
    </xf>
    <xf numFmtId="0" fontId="1" fillId="7" borderId="0" xfId="0" applyFont="1" applyFill="1" applyAlignment="1">
      <alignment horizontal="center" vertical="center"/>
    </xf>
    <xf numFmtId="0" fontId="0" fillId="7" borderId="0" xfId="0" quotePrefix="1" applyFill="1" applyAlignment="1">
      <alignment horizontal="center" vertical="center"/>
    </xf>
    <xf numFmtId="0" fontId="1" fillId="8" borderId="0" xfId="0" applyFont="1" applyFill="1" applyAlignment="1">
      <alignment horizontal="center" vertical="center"/>
    </xf>
    <xf numFmtId="0" fontId="3" fillId="14" borderId="6" xfId="0" applyFont="1" applyFill="1" applyBorder="1" applyAlignment="1">
      <alignment horizontal="center" vertical="center"/>
    </xf>
    <xf numFmtId="0" fontId="3" fillId="14"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1" fillId="2" borderId="17" xfId="0" applyFont="1" applyFill="1" applyBorder="1" applyAlignment="1">
      <alignment horizontal="center" wrapText="1"/>
    </xf>
    <xf numFmtId="0" fontId="10" fillId="0" borderId="0" xfId="0" applyFont="1" applyAlignment="1">
      <alignment horizontal="center" vertical="center" wrapText="1"/>
    </xf>
    <xf numFmtId="0" fontId="1" fillId="0" borderId="10" xfId="0" applyFont="1" applyBorder="1" applyAlignment="1">
      <alignment vertical="center" wrapText="1"/>
    </xf>
    <xf numFmtId="1" fontId="11" fillId="6" borderId="1" xfId="0" applyNumberFormat="1" applyFont="1" applyFill="1" applyBorder="1" applyAlignment="1">
      <alignment horizontal="center" vertical="center"/>
    </xf>
    <xf numFmtId="1" fontId="10" fillId="0" borderId="1" xfId="0" applyNumberFormat="1" applyFont="1" applyBorder="1" applyAlignment="1">
      <alignment horizontal="center" vertical="center"/>
    </xf>
    <xf numFmtId="1" fontId="10" fillId="0" borderId="0" xfId="0" applyNumberFormat="1" applyFont="1" applyAlignment="1">
      <alignment horizontal="center" vertical="center"/>
    </xf>
    <xf numFmtId="0" fontId="3" fillId="15" borderId="11" xfId="0" applyFont="1" applyFill="1" applyBorder="1" applyAlignment="1">
      <alignment vertical="center" wrapText="1"/>
    </xf>
    <xf numFmtId="0" fontId="3" fillId="15"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0" fillId="0" borderId="0" xfId="0" applyFont="1" applyAlignment="1">
      <alignment horizontal="left" vertical="center" wrapText="1"/>
    </xf>
    <xf numFmtId="0" fontId="25" fillId="0" borderId="1" xfId="0" applyFont="1" applyBorder="1" applyAlignment="1">
      <alignment horizontal="left" vertical="center" wrapText="1"/>
    </xf>
    <xf numFmtId="9" fontId="0" fillId="0" borderId="3" xfId="1" applyFont="1" applyBorder="1" applyAlignment="1">
      <alignment horizontal="center" vertical="center" wrapText="1"/>
    </xf>
    <xf numFmtId="0" fontId="0" fillId="0" borderId="28" xfId="0" applyBorder="1" applyAlignment="1">
      <alignment horizontal="center" vertical="center"/>
    </xf>
    <xf numFmtId="9" fontId="0" fillId="0" borderId="29" xfId="1" applyFont="1" applyBorder="1" applyAlignment="1">
      <alignment horizontal="center" vertical="center" wrapText="1"/>
    </xf>
    <xf numFmtId="0" fontId="0" fillId="0" borderId="31" xfId="0" applyBorder="1" applyAlignment="1">
      <alignment horizontal="center" vertical="center"/>
    </xf>
    <xf numFmtId="0" fontId="1" fillId="9" borderId="15" xfId="0" applyFont="1" applyFill="1" applyBorder="1" applyAlignment="1">
      <alignment horizontal="center" vertical="center"/>
    </xf>
    <xf numFmtId="0" fontId="1" fillId="9" borderId="16" xfId="0" applyFont="1" applyFill="1" applyBorder="1" applyAlignment="1">
      <alignment horizontal="center" vertical="center"/>
    </xf>
    <xf numFmtId="9" fontId="1" fillId="9" borderId="18" xfId="1" applyFont="1" applyFill="1" applyBorder="1" applyAlignment="1">
      <alignment horizontal="center" vertical="center" wrapText="1"/>
    </xf>
    <xf numFmtId="0" fontId="29" fillId="16" borderId="26" xfId="0" applyFont="1" applyFill="1" applyBorder="1" applyAlignment="1">
      <alignment horizontal="center" vertical="center" wrapText="1"/>
    </xf>
    <xf numFmtId="0" fontId="29" fillId="16" borderId="30" xfId="0" applyFont="1" applyFill="1" applyBorder="1" applyAlignment="1">
      <alignment horizontal="center" vertical="center" wrapText="1"/>
    </xf>
    <xf numFmtId="0" fontId="29" fillId="16" borderId="25" xfId="0" applyFont="1" applyFill="1" applyBorder="1" applyAlignment="1">
      <alignment horizontal="center" vertical="center" wrapText="1"/>
    </xf>
    <xf numFmtId="0" fontId="35" fillId="0" borderId="1" xfId="0" applyFont="1" applyBorder="1" applyAlignment="1">
      <alignment horizontal="center" vertical="center"/>
    </xf>
    <xf numFmtId="0" fontId="35" fillId="0" borderId="0" xfId="0" applyFont="1" applyAlignment="1">
      <alignment horizontal="center" vertical="center"/>
    </xf>
    <xf numFmtId="0" fontId="35" fillId="0" borderId="2" xfId="0" applyFont="1" applyBorder="1" applyAlignment="1">
      <alignment horizontal="center" vertical="center"/>
    </xf>
    <xf numFmtId="0" fontId="35" fillId="0" borderId="27" xfId="0" applyFont="1" applyBorder="1" applyAlignment="1">
      <alignment horizontal="center" vertical="center"/>
    </xf>
    <xf numFmtId="0" fontId="35" fillId="0" borderId="28" xfId="0" applyFont="1" applyBorder="1" applyAlignment="1">
      <alignment horizontal="center" vertical="center"/>
    </xf>
    <xf numFmtId="0" fontId="35" fillId="0" borderId="7" xfId="0" applyFont="1" applyBorder="1" applyAlignment="1">
      <alignment horizontal="center" vertical="center"/>
    </xf>
    <xf numFmtId="0" fontId="35" fillId="0" borderId="6" xfId="0" applyFont="1" applyBorder="1" applyAlignment="1">
      <alignment horizontal="center" vertical="center"/>
    </xf>
    <xf numFmtId="0" fontId="38" fillId="19" borderId="28" xfId="0" applyFont="1" applyFill="1" applyBorder="1" applyAlignment="1">
      <alignment horizontal="center" vertical="center"/>
    </xf>
    <xf numFmtId="0" fontId="38" fillId="18" borderId="28" xfId="0" applyFont="1" applyFill="1" applyBorder="1" applyAlignment="1">
      <alignment horizontal="center" vertical="center"/>
    </xf>
    <xf numFmtId="0" fontId="38" fillId="20" borderId="28" xfId="0" applyFont="1" applyFill="1" applyBorder="1" applyAlignment="1">
      <alignment horizontal="center" vertical="center"/>
    </xf>
    <xf numFmtId="0" fontId="38" fillId="20" borderId="29" xfId="0" applyFont="1" applyFill="1" applyBorder="1" applyAlignment="1">
      <alignment horizontal="center" vertical="center"/>
    </xf>
    <xf numFmtId="0" fontId="38" fillId="19" borderId="27" xfId="0" applyFont="1" applyFill="1" applyBorder="1" applyAlignment="1">
      <alignment horizontal="center" vertical="center"/>
    </xf>
    <xf numFmtId="0" fontId="38" fillId="19" borderId="29" xfId="0" applyFont="1" applyFill="1" applyBorder="1" applyAlignment="1">
      <alignment horizontal="center" vertical="center"/>
    </xf>
    <xf numFmtId="0" fontId="38" fillId="20" borderId="31" xfId="0" applyFont="1" applyFill="1" applyBorder="1" applyAlignment="1">
      <alignment horizontal="center" vertical="center"/>
    </xf>
    <xf numFmtId="0" fontId="38" fillId="18" borderId="27" xfId="0" applyFont="1" applyFill="1" applyBorder="1" applyAlignment="1">
      <alignment horizontal="center" vertical="center"/>
    </xf>
    <xf numFmtId="0" fontId="38" fillId="18" borderId="29" xfId="0" applyFont="1" applyFill="1" applyBorder="1" applyAlignment="1">
      <alignment horizontal="center" vertical="center"/>
    </xf>
    <xf numFmtId="0" fontId="35" fillId="0" borderId="47" xfId="0" applyFont="1" applyBorder="1" applyAlignment="1">
      <alignment horizontal="center" vertical="center"/>
    </xf>
    <xf numFmtId="0" fontId="35" fillId="0" borderId="48" xfId="0" applyFont="1" applyBorder="1" applyAlignment="1">
      <alignment horizontal="center" vertical="center"/>
    </xf>
    <xf numFmtId="0" fontId="35" fillId="0" borderId="49" xfId="0" applyFont="1" applyBorder="1" applyAlignment="1">
      <alignment horizontal="center" vertical="center"/>
    </xf>
    <xf numFmtId="0" fontId="35" fillId="0" borderId="8" xfId="0" applyFont="1" applyBorder="1" applyAlignment="1">
      <alignment horizontal="center" vertical="center"/>
    </xf>
    <xf numFmtId="0" fontId="35" fillId="0" borderId="2" xfId="0" applyFont="1" applyBorder="1" applyAlignment="1">
      <alignment horizontal="center" vertical="center" wrapText="1"/>
    </xf>
    <xf numFmtId="0" fontId="35" fillId="0" borderId="3" xfId="0" applyFont="1" applyBorder="1" applyAlignment="1">
      <alignment horizontal="center" vertical="center"/>
    </xf>
    <xf numFmtId="0" fontId="35" fillId="0" borderId="29" xfId="0" applyFont="1" applyBorder="1" applyAlignment="1">
      <alignment horizontal="center" vertical="center"/>
    </xf>
    <xf numFmtId="0" fontId="35" fillId="0" borderId="32" xfId="0" applyFont="1" applyBorder="1" applyAlignment="1">
      <alignment horizontal="center" vertical="center"/>
    </xf>
    <xf numFmtId="0" fontId="35" fillId="0" borderId="24" xfId="0" applyFont="1" applyBorder="1" applyAlignment="1">
      <alignment horizontal="center" vertical="center" wrapText="1"/>
    </xf>
    <xf numFmtId="0" fontId="35" fillId="0" borderId="25" xfId="0" applyFont="1" applyBorder="1" applyAlignment="1">
      <alignment horizontal="center" vertical="center"/>
    </xf>
    <xf numFmtId="0" fontId="35" fillId="0" borderId="26" xfId="0" applyFont="1" applyBorder="1" applyAlignment="1">
      <alignment horizontal="center" vertical="center"/>
    </xf>
    <xf numFmtId="0" fontId="35" fillId="0" borderId="24" xfId="0" applyFont="1" applyBorder="1" applyAlignment="1">
      <alignment horizontal="center" vertical="center"/>
    </xf>
    <xf numFmtId="0" fontId="35" fillId="0" borderId="52" xfId="0" applyFont="1" applyBorder="1" applyAlignment="1">
      <alignment horizontal="center" vertical="center"/>
    </xf>
    <xf numFmtId="0" fontId="35" fillId="0" borderId="10" xfId="0" applyFont="1" applyBorder="1" applyAlignment="1">
      <alignment horizontal="center" vertical="center"/>
    </xf>
    <xf numFmtId="0" fontId="35" fillId="0" borderId="11" xfId="0" applyFont="1" applyBorder="1" applyAlignment="1">
      <alignment horizontal="center" vertical="center"/>
    </xf>
    <xf numFmtId="0" fontId="35" fillId="0" borderId="45" xfId="0" applyFont="1" applyBorder="1" applyAlignment="1">
      <alignment horizontal="center" vertical="center"/>
    </xf>
    <xf numFmtId="0" fontId="35" fillId="9" borderId="15" xfId="0" applyFont="1" applyFill="1" applyBorder="1" applyAlignment="1">
      <alignment horizontal="center" vertical="center"/>
    </xf>
    <xf numFmtId="0" fontId="35" fillId="9" borderId="16" xfId="0" applyFont="1" applyFill="1" applyBorder="1" applyAlignment="1">
      <alignment horizontal="center" vertical="center"/>
    </xf>
    <xf numFmtId="9" fontId="35" fillId="9" borderId="16" xfId="1" applyFont="1" applyFill="1" applyBorder="1" applyAlignment="1">
      <alignment horizontal="center" vertical="center"/>
    </xf>
    <xf numFmtId="0" fontId="35" fillId="9" borderId="18" xfId="0" applyFont="1" applyFill="1" applyBorder="1" applyAlignment="1">
      <alignment horizontal="center" vertical="center"/>
    </xf>
    <xf numFmtId="0" fontId="8" fillId="10" borderId="36" xfId="0" applyFont="1" applyFill="1" applyBorder="1" applyAlignment="1">
      <alignment horizontal="center" vertical="center"/>
    </xf>
    <xf numFmtId="0" fontId="8" fillId="10" borderId="51" xfId="0" applyFont="1" applyFill="1" applyBorder="1" applyAlignment="1">
      <alignment horizontal="center" vertical="center"/>
    </xf>
    <xf numFmtId="0" fontId="8" fillId="10" borderId="39" xfId="0" applyFont="1" applyFill="1" applyBorder="1" applyAlignment="1">
      <alignment horizontal="center" vertical="center"/>
    </xf>
    <xf numFmtId="0" fontId="8" fillId="10" borderId="13" xfId="0" applyFont="1" applyFill="1" applyBorder="1" applyAlignment="1">
      <alignment horizontal="center" vertical="center"/>
    </xf>
    <xf numFmtId="9" fontId="36" fillId="21" borderId="24" xfId="1" applyFont="1" applyFill="1" applyBorder="1" applyAlignment="1">
      <alignment horizontal="center" vertical="center"/>
    </xf>
    <xf numFmtId="9" fontId="36" fillId="21" borderId="2" xfId="1" applyFont="1" applyFill="1" applyBorder="1" applyAlignment="1">
      <alignment horizontal="center" vertical="center"/>
    </xf>
    <xf numFmtId="9" fontId="36" fillId="21" borderId="27" xfId="1" applyFont="1" applyFill="1" applyBorder="1" applyAlignment="1">
      <alignment horizontal="center" vertical="center"/>
    </xf>
    <xf numFmtId="9" fontId="36" fillId="21" borderId="7" xfId="1" applyFont="1" applyFill="1" applyBorder="1" applyAlignment="1">
      <alignment horizontal="center" vertical="center"/>
    </xf>
    <xf numFmtId="9" fontId="36" fillId="21" borderId="10" xfId="1" applyFont="1" applyFill="1" applyBorder="1" applyAlignment="1">
      <alignment horizontal="center" vertical="center"/>
    </xf>
    <xf numFmtId="0" fontId="38" fillId="19" borderId="32" xfId="0" applyFont="1" applyFill="1" applyBorder="1" applyAlignment="1">
      <alignment horizontal="center" vertical="center"/>
    </xf>
    <xf numFmtId="0" fontId="38" fillId="19" borderId="33" xfId="0" applyFont="1" applyFill="1" applyBorder="1" applyAlignment="1">
      <alignment horizontal="center" vertical="center"/>
    </xf>
    <xf numFmtId="0" fontId="38" fillId="19" borderId="34" xfId="0" applyFont="1" applyFill="1" applyBorder="1" applyAlignment="1">
      <alignment horizontal="center" vertical="center"/>
    </xf>
    <xf numFmtId="9" fontId="36" fillId="21" borderId="25" xfId="1" applyFont="1" applyFill="1" applyBorder="1" applyAlignment="1">
      <alignment horizontal="center" vertical="center"/>
    </xf>
    <xf numFmtId="9" fontId="36" fillId="21" borderId="1" xfId="1" applyFont="1" applyFill="1" applyBorder="1" applyAlignment="1">
      <alignment horizontal="center" vertical="center"/>
    </xf>
    <xf numFmtId="9" fontId="36" fillId="21" borderId="28" xfId="1" applyFont="1" applyFill="1" applyBorder="1" applyAlignment="1">
      <alignment horizontal="center" vertical="center"/>
    </xf>
    <xf numFmtId="9" fontId="36" fillId="21" borderId="6" xfId="1" applyFont="1" applyFill="1" applyBorder="1" applyAlignment="1">
      <alignment horizontal="center" vertical="center"/>
    </xf>
    <xf numFmtId="9" fontId="36" fillId="21" borderId="11" xfId="1" applyFont="1" applyFill="1" applyBorder="1" applyAlignment="1">
      <alignment horizontal="center" vertical="center"/>
    </xf>
    <xf numFmtId="9" fontId="36" fillId="21" borderId="40" xfId="1" applyFont="1" applyFill="1" applyBorder="1" applyAlignment="1">
      <alignment horizontal="center" vertical="center"/>
    </xf>
    <xf numFmtId="9" fontId="36" fillId="21" borderId="4" xfId="1" applyFont="1" applyFill="1" applyBorder="1" applyAlignment="1">
      <alignment horizontal="center" vertical="center"/>
    </xf>
    <xf numFmtId="9" fontId="36" fillId="21" borderId="42" xfId="1" applyFont="1" applyFill="1" applyBorder="1" applyAlignment="1">
      <alignment horizontal="center" vertical="center"/>
    </xf>
    <xf numFmtId="9" fontId="36" fillId="21" borderId="26" xfId="1" applyFont="1" applyFill="1" applyBorder="1" applyAlignment="1">
      <alignment horizontal="center" vertical="center"/>
    </xf>
    <xf numFmtId="9" fontId="36" fillId="21" borderId="3" xfId="1" applyFont="1" applyFill="1" applyBorder="1" applyAlignment="1">
      <alignment horizontal="center" vertical="center"/>
    </xf>
    <xf numFmtId="9" fontId="36" fillId="21" borderId="29" xfId="1" applyFont="1" applyFill="1" applyBorder="1" applyAlignment="1">
      <alignment horizontal="center" vertical="center"/>
    </xf>
    <xf numFmtId="9" fontId="36" fillId="21" borderId="8" xfId="1" applyFont="1" applyFill="1" applyBorder="1" applyAlignment="1">
      <alignment horizontal="center" vertical="center"/>
    </xf>
    <xf numFmtId="9" fontId="36" fillId="21" borderId="45" xfId="1" applyFont="1" applyFill="1" applyBorder="1" applyAlignment="1">
      <alignment horizontal="center" vertical="center"/>
    </xf>
    <xf numFmtId="9" fontId="35" fillId="0" borderId="20" xfId="1" applyFont="1" applyBorder="1" applyAlignment="1">
      <alignment horizontal="center" vertical="center"/>
    </xf>
    <xf numFmtId="9" fontId="35" fillId="0" borderId="12" xfId="1" applyFont="1" applyBorder="1" applyAlignment="1">
      <alignment horizontal="center" vertical="center"/>
    </xf>
    <xf numFmtId="9" fontId="35" fillId="0" borderId="35" xfId="1" applyFont="1" applyBorder="1" applyAlignment="1">
      <alignment horizontal="center" vertical="center"/>
    </xf>
    <xf numFmtId="0" fontId="8" fillId="17" borderId="20"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0" borderId="20" xfId="0" applyFont="1" applyFill="1" applyBorder="1" applyAlignment="1">
      <alignment horizontal="center" vertical="center"/>
    </xf>
    <xf numFmtId="0" fontId="8" fillId="10" borderId="12" xfId="0" applyFont="1" applyFill="1" applyBorder="1" applyAlignment="1">
      <alignment horizontal="center" vertical="center"/>
    </xf>
    <xf numFmtId="0" fontId="8" fillId="10" borderId="50" xfId="0" applyFont="1" applyFill="1" applyBorder="1" applyAlignment="1">
      <alignment horizontal="center" vertical="center"/>
    </xf>
    <xf numFmtId="0" fontId="8" fillId="10" borderId="44" xfId="0" applyFont="1" applyFill="1" applyBorder="1" applyAlignment="1">
      <alignment horizontal="center" vertical="center"/>
    </xf>
    <xf numFmtId="0" fontId="37" fillId="16" borderId="36" xfId="0" applyFont="1" applyFill="1" applyBorder="1" applyAlignment="1">
      <alignment horizontal="center" vertical="center"/>
    </xf>
    <xf numFmtId="0" fontId="37" fillId="16" borderId="37" xfId="0" applyFont="1" applyFill="1" applyBorder="1" applyAlignment="1">
      <alignment horizontal="center" vertical="center"/>
    </xf>
    <xf numFmtId="0" fontId="37" fillId="16" borderId="38" xfId="0" applyFont="1" applyFill="1" applyBorder="1" applyAlignment="1">
      <alignment horizontal="center" vertical="center"/>
    </xf>
    <xf numFmtId="0" fontId="38" fillId="20" borderId="33" xfId="0" applyFont="1" applyFill="1" applyBorder="1" applyAlignment="1">
      <alignment horizontal="center" vertical="center"/>
    </xf>
    <xf numFmtId="0" fontId="38" fillId="20" borderId="34" xfId="0" applyFont="1" applyFill="1" applyBorder="1" applyAlignment="1">
      <alignment horizontal="center" vertical="center"/>
    </xf>
    <xf numFmtId="9" fontId="36" fillId="23" borderId="14" xfId="1" applyFont="1" applyFill="1" applyBorder="1" applyAlignment="1">
      <alignment horizontal="center" vertical="center"/>
    </xf>
    <xf numFmtId="9" fontId="36" fillId="23" borderId="5" xfId="1" applyFont="1" applyFill="1" applyBorder="1" applyAlignment="1">
      <alignment horizontal="center" vertical="center"/>
    </xf>
    <xf numFmtId="9" fontId="36" fillId="23" borderId="31" xfId="1" applyFont="1" applyFill="1" applyBorder="1" applyAlignment="1">
      <alignment horizontal="center" vertical="center"/>
    </xf>
    <xf numFmtId="9" fontId="36" fillId="23" borderId="6" xfId="1" applyFont="1" applyFill="1" applyBorder="1" applyAlignment="1">
      <alignment horizontal="center" vertical="center"/>
    </xf>
    <xf numFmtId="9" fontId="36" fillId="23" borderId="1" xfId="1" applyFont="1" applyFill="1" applyBorder="1" applyAlignment="1">
      <alignment horizontal="center" vertical="center"/>
    </xf>
    <xf numFmtId="9" fontId="36" fillId="23" borderId="28" xfId="1" applyFont="1" applyFill="1" applyBorder="1" applyAlignment="1">
      <alignment horizontal="center" vertical="center"/>
    </xf>
    <xf numFmtId="9" fontId="36" fillId="23" borderId="8" xfId="1" applyFont="1" applyFill="1" applyBorder="1" applyAlignment="1">
      <alignment horizontal="center" vertical="center"/>
    </xf>
    <xf numFmtId="9" fontId="36" fillId="23" borderId="3" xfId="1" applyFont="1" applyFill="1" applyBorder="1" applyAlignment="1">
      <alignment horizontal="center" vertical="center"/>
    </xf>
    <xf numFmtId="9" fontId="36" fillId="23" borderId="29" xfId="1" applyFont="1" applyFill="1" applyBorder="1" applyAlignment="1">
      <alignment horizontal="center" vertical="center"/>
    </xf>
    <xf numFmtId="9" fontId="36" fillId="22" borderId="43" xfId="1" applyFont="1" applyFill="1" applyBorder="1" applyAlignment="1">
      <alignment horizontal="center" vertical="center"/>
    </xf>
    <xf numFmtId="9" fontId="36" fillId="22" borderId="13" xfId="1" applyFont="1" applyFill="1" applyBorder="1" applyAlignment="1">
      <alignment horizontal="center" vertical="center"/>
    </xf>
    <xf numFmtId="9" fontId="36" fillId="22" borderId="41" xfId="1" applyFont="1" applyFill="1" applyBorder="1" applyAlignment="1">
      <alignment horizontal="center" vertical="center"/>
    </xf>
    <xf numFmtId="9" fontId="36" fillId="22" borderId="12" xfId="1" applyFont="1" applyFill="1" applyBorder="1" applyAlignment="1">
      <alignment horizontal="center" vertical="center"/>
    </xf>
    <xf numFmtId="9" fontId="36" fillId="22" borderId="35" xfId="1" applyFont="1" applyFill="1" applyBorder="1" applyAlignment="1">
      <alignment horizontal="center" vertical="center"/>
    </xf>
    <xf numFmtId="9" fontId="36" fillId="22" borderId="44" xfId="1" applyFont="1" applyFill="1" applyBorder="1" applyAlignment="1">
      <alignment horizontal="center" vertical="center"/>
    </xf>
    <xf numFmtId="9" fontId="36" fillId="22" borderId="46" xfId="1" applyFont="1" applyFill="1" applyBorder="1" applyAlignment="1">
      <alignment horizontal="center" vertical="center"/>
    </xf>
    <xf numFmtId="0" fontId="38" fillId="18" borderId="32" xfId="0" applyFont="1" applyFill="1" applyBorder="1" applyAlignment="1">
      <alignment horizontal="center" vertical="center"/>
    </xf>
    <xf numFmtId="0" fontId="38" fillId="18" borderId="33" xfId="0" applyFont="1" applyFill="1" applyBorder="1" applyAlignment="1">
      <alignment horizontal="center" vertical="center"/>
    </xf>
    <xf numFmtId="0" fontId="38" fillId="18" borderId="34" xfId="0" applyFont="1" applyFill="1" applyBorder="1" applyAlignment="1">
      <alignment horizontal="center" vertical="center"/>
    </xf>
    <xf numFmtId="9" fontId="36" fillId="22" borderId="39" xfId="1" applyFont="1" applyFill="1" applyBorder="1" applyAlignment="1">
      <alignment horizontal="center" vertical="center"/>
    </xf>
    <xf numFmtId="9" fontId="36" fillId="22" borderId="20" xfId="1" applyFont="1" applyFill="1" applyBorder="1" applyAlignment="1">
      <alignment horizontal="center" vertical="center"/>
    </xf>
    <xf numFmtId="9" fontId="36" fillId="22" borderId="50" xfId="1" applyFont="1" applyFill="1" applyBorder="1" applyAlignment="1">
      <alignment horizontal="center" vertical="center"/>
    </xf>
    <xf numFmtId="0" fontId="8" fillId="10" borderId="1" xfId="0" applyFont="1" applyFill="1" applyBorder="1" applyAlignment="1">
      <alignment horizontal="center"/>
    </xf>
    <xf numFmtId="0" fontId="8" fillId="0" borderId="23" xfId="0" applyFont="1" applyBorder="1" applyAlignment="1">
      <alignment horizontal="center" vertical="center"/>
    </xf>
    <xf numFmtId="0" fontId="1" fillId="0" borderId="23" xfId="0" applyFont="1" applyBorder="1" applyAlignment="1">
      <alignment horizontal="center" vertical="center"/>
    </xf>
    <xf numFmtId="0" fontId="0" fillId="0" borderId="0" xfId="0" applyAlignment="1">
      <alignment horizontal="center" vertical="center"/>
    </xf>
    <xf numFmtId="0" fontId="10" fillId="0" borderId="1" xfId="0" applyFont="1" applyBorder="1" applyAlignment="1">
      <alignment horizontal="left" vertical="center" wrapText="1"/>
    </xf>
    <xf numFmtId="0" fontId="10" fillId="0" borderId="6" xfId="0" applyFont="1" applyBorder="1" applyAlignment="1">
      <alignment horizontal="left" vertical="center" wrapText="1"/>
    </xf>
    <xf numFmtId="1" fontId="9" fillId="10" borderId="1" xfId="0" applyNumberFormat="1" applyFont="1" applyFill="1" applyBorder="1" applyAlignment="1">
      <alignment horizontal="center" vertical="center"/>
    </xf>
    <xf numFmtId="0" fontId="9" fillId="10" borderId="1" xfId="0" applyFont="1"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7" xfId="0" applyBorder="1" applyAlignment="1">
      <alignment horizontal="left" vertical="center"/>
    </xf>
    <xf numFmtId="0" fontId="0" fillId="0" borderId="29" xfId="0" applyBorder="1" applyAlignment="1">
      <alignment horizontal="left" vertical="center"/>
    </xf>
    <xf numFmtId="0" fontId="29" fillId="16" borderId="24" xfId="0" applyFont="1" applyFill="1" applyBorder="1" applyAlignment="1">
      <alignment horizontal="center" vertical="center" wrapText="1"/>
    </xf>
    <xf numFmtId="0" fontId="29" fillId="16" borderId="26"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1" xfId="0" applyFont="1" applyFill="1" applyBorder="1" applyAlignment="1">
      <alignment horizontal="center" vertical="center"/>
    </xf>
    <xf numFmtId="0" fontId="1" fillId="2" borderId="6" xfId="0" applyFont="1" applyFill="1" applyBorder="1" applyAlignment="1">
      <alignment horizontal="center" vertical="center"/>
    </xf>
    <xf numFmtId="0" fontId="30" fillId="13" borderId="0" xfId="0" applyFont="1" applyFill="1" applyAlignment="1">
      <alignment horizontal="center" vertical="center"/>
    </xf>
    <xf numFmtId="0" fontId="30" fillId="13" borderId="21" xfId="0" applyFont="1" applyFill="1" applyBorder="1" applyAlignment="1">
      <alignment horizontal="center" vertical="center"/>
    </xf>
    <xf numFmtId="0" fontId="1" fillId="8" borderId="11"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22" xfId="0" applyFont="1" applyFill="1" applyBorder="1" applyAlignment="1">
      <alignment horizontal="center" vertical="center"/>
    </xf>
    <xf numFmtId="0" fontId="1" fillId="8" borderId="5" xfId="0" applyFont="1" applyFill="1" applyBorder="1" applyAlignment="1">
      <alignment horizontal="center" vertical="center"/>
    </xf>
    <xf numFmtId="0" fontId="1" fillId="12" borderId="0" xfId="0" applyFont="1" applyFill="1" applyAlignment="1">
      <alignment horizontal="center" vertical="center"/>
    </xf>
    <xf numFmtId="0" fontId="3" fillId="0" borderId="1" xfId="0" applyFont="1" applyFill="1" applyBorder="1" applyAlignment="1">
      <alignment horizontal="center" vertical="center"/>
    </xf>
    <xf numFmtId="0" fontId="3" fillId="9" borderId="11" xfId="0" applyFont="1" applyFill="1" applyBorder="1" applyAlignment="1">
      <alignment vertical="center" wrapText="1"/>
    </xf>
    <xf numFmtId="0" fontId="3" fillId="9" borderId="1" xfId="0" applyFont="1" applyFill="1" applyBorder="1" applyAlignment="1">
      <alignment vertical="center" wrapText="1"/>
    </xf>
    <xf numFmtId="0" fontId="3" fillId="2" borderId="11" xfId="0" applyFont="1" applyFill="1" applyBorder="1" applyAlignment="1">
      <alignment vertical="center" wrapText="1"/>
    </xf>
    <xf numFmtId="0" fontId="10" fillId="0" borderId="1" xfId="0" applyFont="1" applyBorder="1" applyAlignment="1">
      <alignment horizontal="left" wrapText="1"/>
    </xf>
  </cellXfs>
  <cellStyles count="2">
    <cellStyle name="Normal" xfId="0" builtinId="0"/>
    <cellStyle name="Percent" xfId="1" builtinId="5"/>
  </cellStyles>
  <dxfs count="17">
    <dxf>
      <fill>
        <patternFill>
          <bgColor rgb="FF92D050"/>
        </patternFill>
      </fill>
    </dxf>
    <dxf>
      <fill>
        <patternFill>
          <bgColor rgb="FFFFFF00"/>
        </patternFill>
      </fill>
    </dxf>
    <dxf>
      <fill>
        <patternFill>
          <bgColor rgb="FFFF0000"/>
        </patternFill>
      </fill>
    </dxf>
    <dxf>
      <fill>
        <patternFill>
          <bgColor theme="2" tint="-9.9948118533890809E-2"/>
        </patternFill>
      </fill>
    </dxf>
    <dxf>
      <font>
        <color rgb="FF92D050"/>
      </font>
      <fill>
        <patternFill>
          <bgColor rgb="FF92D050"/>
        </patternFill>
      </fill>
    </dxf>
    <dxf>
      <font>
        <color rgb="FFFF0000"/>
      </font>
      <fill>
        <patternFill>
          <bgColor rgb="FFFF0000"/>
        </patternFill>
      </fill>
    </dxf>
    <dxf>
      <font>
        <color rgb="FF00B0F0"/>
      </font>
      <fill>
        <patternFill>
          <bgColor rgb="FF00B0F0"/>
        </patternFill>
      </fill>
    </dxf>
    <dxf>
      <fill>
        <patternFill>
          <bgColor rgb="FFFFFF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theme="0" tint="-0.24994659260841701"/>
        </patternFill>
      </fill>
    </dxf>
    <dxf>
      <fill>
        <patternFill>
          <bgColor rgb="FFFFC000"/>
        </patternFill>
      </fill>
    </dxf>
    <dxf>
      <fill>
        <patternFill>
          <bgColor theme="7" tint="0.39994506668294322"/>
        </patternFill>
      </fill>
    </dxf>
    <dxf>
      <fill>
        <patternFill>
          <bgColor rgb="FF92D050"/>
        </patternFill>
      </fill>
    </dxf>
    <dxf>
      <fill>
        <patternFill>
          <bgColor theme="0" tint="-0.24994659260841701"/>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iLD-Project</a:t>
            </a:r>
            <a:r>
              <a:rPr lang="en-US" baseline="0"/>
              <a:t>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Summary!$C$19</c:f>
              <c:strCache>
                <c:ptCount val="1"/>
                <c:pt idx="0">
                  <c:v>No. of Project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Summary!$A$20:$A$26</c:f>
              <c:strCache>
                <c:ptCount val="7"/>
                <c:pt idx="0">
                  <c:v>Output</c:v>
                </c:pt>
                <c:pt idx="1">
                  <c:v>Cost</c:v>
                </c:pt>
                <c:pt idx="2">
                  <c:v>People</c:v>
                </c:pt>
                <c:pt idx="3">
                  <c:v>Compliance</c:v>
                </c:pt>
                <c:pt idx="4">
                  <c:v>Customer complaint</c:v>
                </c:pt>
                <c:pt idx="5">
                  <c:v>Safety</c:v>
                </c:pt>
                <c:pt idx="6">
                  <c:v>Foundation</c:v>
                </c:pt>
              </c:strCache>
            </c:strRef>
          </c:cat>
          <c:val>
            <c:numRef>
              <c:f>Summary!$C$20:$C$26</c:f>
              <c:numCache>
                <c:formatCode>General</c:formatCode>
                <c:ptCount val="7"/>
                <c:pt idx="0">
                  <c:v>9</c:v>
                </c:pt>
                <c:pt idx="1">
                  <c:v>21</c:v>
                </c:pt>
                <c:pt idx="2">
                  <c:v>3</c:v>
                </c:pt>
                <c:pt idx="3">
                  <c:v>4</c:v>
                </c:pt>
                <c:pt idx="4">
                  <c:v>2</c:v>
                </c:pt>
                <c:pt idx="5">
                  <c:v>6</c:v>
                </c:pt>
                <c:pt idx="6">
                  <c:v>9</c:v>
                </c:pt>
              </c:numCache>
            </c:numRef>
          </c:val>
          <c:extLst>
            <c:ext xmlns:c16="http://schemas.microsoft.com/office/drawing/2014/chart" uri="{C3380CC4-5D6E-409C-BE32-E72D297353CC}">
              <c16:uniqueId val="{00000001-9BFD-4900-9CD8-8A425F64023B}"/>
            </c:ext>
          </c:extLst>
        </c:ser>
        <c:ser>
          <c:idx val="2"/>
          <c:order val="2"/>
          <c:tx>
            <c:strRef>
              <c:f>Summary!$D$19</c:f>
              <c:strCache>
                <c:ptCount val="1"/>
                <c:pt idx="0">
                  <c:v>Completed</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Summary!$A$20:$A$26</c:f>
              <c:strCache>
                <c:ptCount val="7"/>
                <c:pt idx="0">
                  <c:v>Output</c:v>
                </c:pt>
                <c:pt idx="1">
                  <c:v>Cost</c:v>
                </c:pt>
                <c:pt idx="2">
                  <c:v>People</c:v>
                </c:pt>
                <c:pt idx="3">
                  <c:v>Compliance</c:v>
                </c:pt>
                <c:pt idx="4">
                  <c:v>Customer complaint</c:v>
                </c:pt>
                <c:pt idx="5">
                  <c:v>Safety</c:v>
                </c:pt>
                <c:pt idx="6">
                  <c:v>Foundation</c:v>
                </c:pt>
              </c:strCache>
            </c:strRef>
          </c:cat>
          <c:val>
            <c:numRef>
              <c:f>Summary!$D$20:$D$26</c:f>
              <c:numCache>
                <c:formatCode>General</c:formatCode>
                <c:ptCount val="7"/>
                <c:pt idx="0">
                  <c:v>4</c:v>
                </c:pt>
                <c:pt idx="1">
                  <c:v>9</c:v>
                </c:pt>
                <c:pt idx="2">
                  <c:v>0</c:v>
                </c:pt>
                <c:pt idx="3">
                  <c:v>0</c:v>
                </c:pt>
                <c:pt idx="4">
                  <c:v>2</c:v>
                </c:pt>
                <c:pt idx="5">
                  <c:v>2</c:v>
                </c:pt>
                <c:pt idx="6">
                  <c:v>1</c:v>
                </c:pt>
              </c:numCache>
            </c:numRef>
          </c:val>
          <c:extLst>
            <c:ext xmlns:c16="http://schemas.microsoft.com/office/drawing/2014/chart" uri="{C3380CC4-5D6E-409C-BE32-E72D297353CC}">
              <c16:uniqueId val="{00000002-9BFD-4900-9CD8-8A425F64023B}"/>
            </c:ext>
          </c:extLst>
        </c:ser>
        <c:ser>
          <c:idx val="3"/>
          <c:order val="3"/>
          <c:tx>
            <c:strRef>
              <c:f>Summary!$E$19</c:f>
              <c:strCache>
                <c:ptCount val="1"/>
                <c:pt idx="0">
                  <c:v>On going</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Summary!$A$20:$A$26</c:f>
              <c:strCache>
                <c:ptCount val="7"/>
                <c:pt idx="0">
                  <c:v>Output</c:v>
                </c:pt>
                <c:pt idx="1">
                  <c:v>Cost</c:v>
                </c:pt>
                <c:pt idx="2">
                  <c:v>People</c:v>
                </c:pt>
                <c:pt idx="3">
                  <c:v>Compliance</c:v>
                </c:pt>
                <c:pt idx="4">
                  <c:v>Customer complaint</c:v>
                </c:pt>
                <c:pt idx="5">
                  <c:v>Safety</c:v>
                </c:pt>
                <c:pt idx="6">
                  <c:v>Foundation</c:v>
                </c:pt>
              </c:strCache>
            </c:strRef>
          </c:cat>
          <c:val>
            <c:numRef>
              <c:f>Summary!$E$20:$E$26</c:f>
              <c:numCache>
                <c:formatCode>General</c:formatCode>
                <c:ptCount val="7"/>
                <c:pt idx="0">
                  <c:v>5</c:v>
                </c:pt>
                <c:pt idx="1">
                  <c:v>12</c:v>
                </c:pt>
                <c:pt idx="2">
                  <c:v>3</c:v>
                </c:pt>
                <c:pt idx="3">
                  <c:v>4</c:v>
                </c:pt>
                <c:pt idx="4">
                  <c:v>0</c:v>
                </c:pt>
                <c:pt idx="5">
                  <c:v>4</c:v>
                </c:pt>
                <c:pt idx="6">
                  <c:v>8</c:v>
                </c:pt>
              </c:numCache>
            </c:numRef>
          </c:val>
          <c:extLst>
            <c:ext xmlns:c16="http://schemas.microsoft.com/office/drawing/2014/chart" uri="{C3380CC4-5D6E-409C-BE32-E72D297353CC}">
              <c16:uniqueId val="{00000003-9BFD-4900-9CD8-8A425F64023B}"/>
            </c:ext>
          </c:extLst>
        </c:ser>
        <c:dLbls>
          <c:showLegendKey val="0"/>
          <c:showVal val="1"/>
          <c:showCatName val="0"/>
          <c:showSerName val="0"/>
          <c:showPercent val="0"/>
          <c:showBubbleSize val="0"/>
        </c:dLbls>
        <c:gapWidth val="219"/>
        <c:axId val="860913727"/>
        <c:axId val="860889247"/>
        <c:extLst>
          <c:ext xmlns:c15="http://schemas.microsoft.com/office/drawing/2012/chart" uri="{02D57815-91ED-43cb-92C2-25804820EDAC}">
            <c15:filteredBarSeries>
              <c15:ser>
                <c:idx val="0"/>
                <c:order val="0"/>
                <c:tx>
                  <c:strRef>
                    <c:extLst>
                      <c:ext uri="{02D57815-91ED-43cb-92C2-25804820EDAC}">
                        <c15:formulaRef>
                          <c15:sqref>Summary!$B$19</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Summary!$A$20:$A$26</c15:sqref>
                        </c15:formulaRef>
                      </c:ext>
                    </c:extLst>
                    <c:strCache>
                      <c:ptCount val="7"/>
                      <c:pt idx="0">
                        <c:v>Output</c:v>
                      </c:pt>
                      <c:pt idx="1">
                        <c:v>Cost</c:v>
                      </c:pt>
                      <c:pt idx="2">
                        <c:v>People</c:v>
                      </c:pt>
                      <c:pt idx="3">
                        <c:v>Compliance</c:v>
                      </c:pt>
                      <c:pt idx="4">
                        <c:v>Customer complaint</c:v>
                      </c:pt>
                      <c:pt idx="5">
                        <c:v>Safety</c:v>
                      </c:pt>
                      <c:pt idx="6">
                        <c:v>Foundation</c:v>
                      </c:pt>
                    </c:strCache>
                  </c:strRef>
                </c:cat>
                <c:val>
                  <c:numRef>
                    <c:extLst>
                      <c:ext uri="{02D57815-91ED-43cb-92C2-25804820EDAC}">
                        <c15:formulaRef>
                          <c15:sqref>Summary!$B$20:$B$26</c15:sqref>
                        </c15:formulaRef>
                      </c:ext>
                    </c:extLst>
                    <c:numCache>
                      <c:formatCode>General</c:formatCode>
                      <c:ptCount val="7"/>
                    </c:numCache>
                  </c:numRef>
                </c:val>
                <c:extLst>
                  <c:ext xmlns:c16="http://schemas.microsoft.com/office/drawing/2014/chart" uri="{C3380CC4-5D6E-409C-BE32-E72D297353CC}">
                    <c16:uniqueId val="{00000000-9BFD-4900-9CD8-8A425F64023B}"/>
                  </c:ext>
                </c:extLst>
              </c15:ser>
            </c15:filteredBarSeries>
          </c:ext>
        </c:extLst>
      </c:barChart>
      <c:catAx>
        <c:axId val="86091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889247"/>
        <c:crosses val="autoZero"/>
        <c:auto val="1"/>
        <c:lblAlgn val="ctr"/>
        <c:lblOffset val="100"/>
        <c:noMultiLvlLbl val="0"/>
      </c:catAx>
      <c:valAx>
        <c:axId val="86088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13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41674</xdr:colOff>
      <xdr:row>18</xdr:row>
      <xdr:rowOff>18454</xdr:rowOff>
    </xdr:from>
    <xdr:to>
      <xdr:col>14</xdr:col>
      <xdr:colOff>571502</xdr:colOff>
      <xdr:row>33</xdr:row>
      <xdr:rowOff>142279</xdr:rowOff>
    </xdr:to>
    <xdr:graphicFrame macro="">
      <xdr:nvGraphicFramePr>
        <xdr:cNvPr id="2" name="Chart 1">
          <a:extLst>
            <a:ext uri="{FF2B5EF4-FFF2-40B4-BE49-F238E27FC236}">
              <a16:creationId xmlns:a16="http://schemas.microsoft.com/office/drawing/2014/main" id="{1A363FCC-6FC9-EE2B-1EBE-AF0C37C26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5799-433E-4DBE-853B-46B219772A92}">
  <dimension ref="A1:C10"/>
  <sheetViews>
    <sheetView showGridLines="0" zoomScale="175" zoomScaleNormal="175" workbookViewId="0">
      <selection activeCell="D11" sqref="D11"/>
    </sheetView>
  </sheetViews>
  <sheetFormatPr defaultRowHeight="15" x14ac:dyDescent="0.25"/>
  <cols>
    <col min="1" max="1" width="4.85546875" style="38" customWidth="1"/>
    <col min="2" max="2" width="42" customWidth="1"/>
    <col min="3" max="3" width="12.140625" style="5" customWidth="1"/>
    <col min="4" max="4" width="0.85546875" customWidth="1"/>
  </cols>
  <sheetData>
    <row r="1" spans="1:3" ht="18.75" x14ac:dyDescent="0.3">
      <c r="A1" s="261" t="s">
        <v>0</v>
      </c>
      <c r="B1" s="261"/>
      <c r="C1" s="261"/>
    </row>
    <row r="2" spans="1:3" ht="30" x14ac:dyDescent="0.25">
      <c r="A2" s="52" t="s">
        <v>1</v>
      </c>
      <c r="B2" s="52" t="s">
        <v>2</v>
      </c>
      <c r="C2" s="79" t="s">
        <v>3</v>
      </c>
    </row>
    <row r="3" spans="1:3" x14ac:dyDescent="0.25">
      <c r="A3" s="77">
        <v>1</v>
      </c>
      <c r="B3" s="78" t="s">
        <v>4</v>
      </c>
      <c r="C3" s="76">
        <v>1</v>
      </c>
    </row>
    <row r="4" spans="1:3" x14ac:dyDescent="0.25">
      <c r="A4" s="77">
        <v>2</v>
      </c>
      <c r="B4" s="78" t="s">
        <v>5</v>
      </c>
      <c r="C4" s="76">
        <v>1</v>
      </c>
    </row>
    <row r="5" spans="1:3" x14ac:dyDescent="0.25">
      <c r="A5" s="77">
        <v>3</v>
      </c>
      <c r="B5" s="78" t="s">
        <v>6</v>
      </c>
      <c r="C5" s="76">
        <v>5</v>
      </c>
    </row>
    <row r="6" spans="1:3" x14ac:dyDescent="0.25">
      <c r="A6" s="77">
        <v>4</v>
      </c>
      <c r="B6" s="78" t="s">
        <v>7</v>
      </c>
      <c r="C6" s="76">
        <v>1</v>
      </c>
    </row>
    <row r="7" spans="1:3" x14ac:dyDescent="0.25">
      <c r="A7" s="77">
        <v>5</v>
      </c>
      <c r="B7" s="78" t="s">
        <v>8</v>
      </c>
      <c r="C7" s="76">
        <v>1</v>
      </c>
    </row>
    <row r="8" spans="1:3" x14ac:dyDescent="0.25">
      <c r="A8" s="77">
        <v>6</v>
      </c>
      <c r="B8" s="78" t="s">
        <v>9</v>
      </c>
      <c r="C8" s="76">
        <v>1</v>
      </c>
    </row>
    <row r="9" spans="1:3" x14ac:dyDescent="0.25">
      <c r="C9" s="80">
        <f>SUM(C3:C8)</f>
        <v>10</v>
      </c>
    </row>
    <row r="10" spans="1:3" ht="3" customHeight="1" x14ac:dyDescent="0.25"/>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35613-3B41-41E2-9EAB-622AC12A72B5}">
  <sheetPr filterMode="1"/>
  <dimension ref="A1:AZ56"/>
  <sheetViews>
    <sheetView showGridLines="0" zoomScale="137" zoomScaleNormal="190" workbookViewId="0">
      <pane xSplit="7" ySplit="2" topLeftCell="AA6" activePane="bottomRight" state="frozen"/>
      <selection pane="topRight" activeCell="H1" sqref="H1"/>
      <selection pane="bottomLeft" activeCell="A3" sqref="A3"/>
      <selection pane="bottomRight" activeCell="F13" sqref="F13"/>
    </sheetView>
  </sheetViews>
  <sheetFormatPr defaultRowHeight="15" x14ac:dyDescent="0.25"/>
  <cols>
    <col min="1" max="1" width="14.140625" style="19" customWidth="1"/>
    <col min="2" max="2" width="13.140625" style="8" customWidth="1"/>
    <col min="3" max="3" width="5.85546875" style="9" bestFit="1" customWidth="1"/>
    <col min="4" max="4" width="6" style="5" customWidth="1"/>
    <col min="5" max="5" width="20" style="4" customWidth="1"/>
    <col min="6" max="6" width="51.5703125" style="4" customWidth="1"/>
    <col min="7" max="7" width="12.7109375" style="6" customWidth="1"/>
    <col min="8" max="8" width="8.28515625" style="6" customWidth="1"/>
    <col min="9" max="9" width="13.140625" style="6" hidden="1" customWidth="1"/>
    <col min="10" max="10" width="13.42578125" style="5" hidden="1" customWidth="1"/>
    <col min="11" max="11" width="18" style="6" hidden="1" customWidth="1"/>
    <col min="12" max="12" width="22.85546875" style="6" hidden="1" customWidth="1"/>
    <col min="13" max="13" width="23" style="6" hidden="1" customWidth="1"/>
    <col min="14" max="14" width="23.140625" style="6" hidden="1" customWidth="1"/>
    <col min="15" max="15" width="11.85546875" style="5" hidden="1" customWidth="1"/>
    <col min="16" max="16" width="8.140625" style="6" customWidth="1"/>
    <col min="17" max="17" width="13.5703125" style="6" bestFit="1" customWidth="1"/>
    <col min="18" max="18" width="12.42578125" style="6" hidden="1" customWidth="1"/>
    <col min="19" max="19" width="14.28515625" style="6" hidden="1" customWidth="1"/>
    <col min="20" max="20" width="10.28515625" style="6" customWidth="1"/>
    <col min="21" max="21" width="3.85546875" style="20" customWidth="1"/>
    <col min="22" max="23" width="4.28515625" style="20" customWidth="1"/>
    <col min="24" max="24" width="4" style="20" customWidth="1"/>
    <col min="25" max="25" width="4.5703125" style="20" customWidth="1"/>
    <col min="26" max="26" width="4" style="20" customWidth="1"/>
    <col min="27" max="27" width="3.42578125" style="20" customWidth="1"/>
    <col min="28" max="28" width="4.28515625" style="20" customWidth="1"/>
    <col min="29" max="29" width="4.42578125" style="20" customWidth="1"/>
    <col min="30" max="30" width="4.140625" style="20" customWidth="1"/>
    <col min="31" max="32" width="4.5703125" style="20" customWidth="1"/>
    <col min="33" max="52" width="9.140625" style="6" customWidth="1"/>
  </cols>
  <sheetData>
    <row r="1" spans="1:52" ht="19.5" thickBot="1" x14ac:dyDescent="0.3">
      <c r="A1" s="262" t="s">
        <v>10</v>
      </c>
      <c r="B1" s="262"/>
      <c r="C1" s="262"/>
      <c r="D1" s="262"/>
      <c r="E1" s="262"/>
      <c r="F1" s="262"/>
      <c r="G1" s="262"/>
      <c r="H1" s="262"/>
      <c r="I1" s="263"/>
      <c r="J1" s="263"/>
      <c r="K1" s="263"/>
      <c r="L1" s="263"/>
      <c r="M1" s="263"/>
      <c r="N1" s="263"/>
      <c r="O1" s="263"/>
      <c r="P1" s="262"/>
      <c r="Q1" s="262"/>
      <c r="R1" s="263"/>
      <c r="S1" s="263"/>
      <c r="T1" s="262"/>
      <c r="U1" s="262" t="s">
        <v>11</v>
      </c>
      <c r="V1" s="262"/>
      <c r="W1" s="262"/>
      <c r="X1" s="262"/>
      <c r="Y1" s="262"/>
      <c r="Z1" s="262"/>
      <c r="AA1" s="262"/>
      <c r="AB1" s="262"/>
      <c r="AC1" s="262"/>
      <c r="AD1" s="262"/>
      <c r="AE1" s="262"/>
      <c r="AF1" s="262"/>
      <c r="AG1" s="264" t="s">
        <v>12</v>
      </c>
      <c r="AH1" s="264"/>
      <c r="AI1" s="264"/>
      <c r="AJ1" s="264"/>
      <c r="AK1" s="264" t="s">
        <v>13</v>
      </c>
      <c r="AL1" s="264"/>
      <c r="AM1" s="264"/>
      <c r="AN1" s="264"/>
      <c r="AO1" s="264" t="s">
        <v>14</v>
      </c>
      <c r="AP1" s="264"/>
      <c r="AQ1" s="264"/>
      <c r="AR1" s="264"/>
      <c r="AS1" s="264" t="s">
        <v>15</v>
      </c>
      <c r="AT1" s="264"/>
      <c r="AU1" s="264"/>
      <c r="AV1" s="264"/>
      <c r="AW1" s="264" t="s">
        <v>16</v>
      </c>
      <c r="AX1" s="264"/>
      <c r="AY1" s="264"/>
      <c r="AZ1" s="264"/>
    </row>
    <row r="2" spans="1:52" s="136" customFormat="1" ht="27" customHeight="1" thickBot="1" x14ac:dyDescent="0.3">
      <c r="A2" s="134" t="s">
        <v>17</v>
      </c>
      <c r="B2" s="33" t="s">
        <v>18</v>
      </c>
      <c r="C2" s="33" t="s">
        <v>19</v>
      </c>
      <c r="D2" s="33" t="s">
        <v>1</v>
      </c>
      <c r="E2" s="33" t="s">
        <v>20</v>
      </c>
      <c r="F2" s="33" t="s">
        <v>21</v>
      </c>
      <c r="G2" s="33" t="s">
        <v>22</v>
      </c>
      <c r="H2" s="33" t="s">
        <v>23</v>
      </c>
      <c r="I2" s="33" t="s">
        <v>24</v>
      </c>
      <c r="J2" s="33" t="s">
        <v>25</v>
      </c>
      <c r="K2" s="33" t="s">
        <v>26</v>
      </c>
      <c r="L2" s="33" t="s">
        <v>27</v>
      </c>
      <c r="M2" s="33" t="s">
        <v>28</v>
      </c>
      <c r="N2" s="33" t="s">
        <v>29</v>
      </c>
      <c r="O2" s="33" t="s">
        <v>30</v>
      </c>
      <c r="P2" s="33" t="s">
        <v>31</v>
      </c>
      <c r="Q2" s="33" t="s">
        <v>32</v>
      </c>
      <c r="R2" s="33" t="s">
        <v>33</v>
      </c>
      <c r="S2" s="33" t="s">
        <v>34</v>
      </c>
      <c r="T2" s="143" t="s">
        <v>35</v>
      </c>
      <c r="U2" s="134" t="s">
        <v>36</v>
      </c>
      <c r="V2" s="33" t="s">
        <v>37</v>
      </c>
      <c r="W2" s="33" t="s">
        <v>38</v>
      </c>
      <c r="X2" s="33" t="s">
        <v>39</v>
      </c>
      <c r="Y2" s="33" t="s">
        <v>40</v>
      </c>
      <c r="Z2" s="33" t="s">
        <v>41</v>
      </c>
      <c r="AA2" s="33" t="s">
        <v>42</v>
      </c>
      <c r="AB2" s="33" t="s">
        <v>43</v>
      </c>
      <c r="AC2" s="33" t="s">
        <v>44</v>
      </c>
      <c r="AD2" s="33" t="s">
        <v>45</v>
      </c>
      <c r="AE2" s="33" t="s">
        <v>46</v>
      </c>
      <c r="AF2" s="135" t="s">
        <v>47</v>
      </c>
      <c r="AG2" s="34" t="s">
        <v>48</v>
      </c>
      <c r="AH2" s="35" t="s">
        <v>49</v>
      </c>
      <c r="AI2" s="35" t="s">
        <v>50</v>
      </c>
      <c r="AJ2" s="36" t="s">
        <v>51</v>
      </c>
      <c r="AK2" s="34" t="s">
        <v>48</v>
      </c>
      <c r="AL2" s="35" t="s">
        <v>49</v>
      </c>
      <c r="AM2" s="35" t="s">
        <v>50</v>
      </c>
      <c r="AN2" s="36" t="s">
        <v>51</v>
      </c>
      <c r="AO2" s="34" t="s">
        <v>48</v>
      </c>
      <c r="AP2" s="35" t="s">
        <v>49</v>
      </c>
      <c r="AQ2" s="35" t="s">
        <v>50</v>
      </c>
      <c r="AR2" s="36" t="s">
        <v>51</v>
      </c>
      <c r="AS2" s="37" t="s">
        <v>52</v>
      </c>
      <c r="AT2" s="35" t="s">
        <v>49</v>
      </c>
      <c r="AU2" s="35" t="s">
        <v>53</v>
      </c>
      <c r="AV2" s="36" t="s">
        <v>54</v>
      </c>
      <c r="AW2" s="34" t="s">
        <v>48</v>
      </c>
      <c r="AX2" s="35" t="s">
        <v>49</v>
      </c>
      <c r="AY2" s="35" t="s">
        <v>50</v>
      </c>
      <c r="AZ2" s="36" t="s">
        <v>51</v>
      </c>
    </row>
    <row r="3" spans="1:52" ht="27" hidden="1" x14ac:dyDescent="0.25">
      <c r="A3" s="116" t="s">
        <v>55</v>
      </c>
      <c r="B3" s="67" t="s">
        <v>56</v>
      </c>
      <c r="C3" s="62">
        <v>5550</v>
      </c>
      <c r="D3" s="27">
        <v>1</v>
      </c>
      <c r="E3" s="28" t="s">
        <v>57</v>
      </c>
      <c r="F3" s="28" t="s">
        <v>58</v>
      </c>
      <c r="G3" s="125" t="s">
        <v>59</v>
      </c>
      <c r="H3" s="31" t="s">
        <v>60</v>
      </c>
      <c r="I3" s="31" t="s">
        <v>61</v>
      </c>
      <c r="J3" s="27" t="s">
        <v>62</v>
      </c>
      <c r="K3" s="31" t="s">
        <v>63</v>
      </c>
      <c r="L3" s="31" t="s">
        <v>1</v>
      </c>
      <c r="M3" s="31" t="s">
        <v>63</v>
      </c>
      <c r="N3" s="31" t="s">
        <v>64</v>
      </c>
      <c r="O3" s="27" t="s">
        <v>65</v>
      </c>
      <c r="P3" s="140" t="s">
        <v>38</v>
      </c>
      <c r="Q3" s="31" t="s">
        <v>64</v>
      </c>
      <c r="R3" s="31" t="s">
        <v>66</v>
      </c>
      <c r="S3" s="31" t="s">
        <v>66</v>
      </c>
      <c r="T3" s="32"/>
      <c r="U3" s="16" t="s">
        <v>67</v>
      </c>
      <c r="V3" s="17" t="s">
        <v>67</v>
      </c>
      <c r="W3" s="17">
        <v>4</v>
      </c>
      <c r="X3" s="17" t="s">
        <v>67</v>
      </c>
      <c r="Y3" s="17" t="s">
        <v>67</v>
      </c>
      <c r="Z3" s="17" t="s">
        <v>67</v>
      </c>
      <c r="AA3" s="17" t="s">
        <v>67</v>
      </c>
      <c r="AB3" s="17" t="s">
        <v>67</v>
      </c>
      <c r="AC3" s="17" t="s">
        <v>67</v>
      </c>
      <c r="AD3" s="17" t="s">
        <v>67</v>
      </c>
      <c r="AE3" s="17" t="s">
        <v>67</v>
      </c>
      <c r="AF3" s="17" t="s">
        <v>67</v>
      </c>
      <c r="AG3" s="40">
        <v>17.600000000000001</v>
      </c>
      <c r="AH3" s="41">
        <v>18.399999999999999</v>
      </c>
      <c r="AI3" s="41"/>
      <c r="AJ3" s="42"/>
      <c r="AK3" s="40">
        <v>18.899999999999999</v>
      </c>
      <c r="AL3" s="41"/>
      <c r="AM3" s="41"/>
      <c r="AN3" s="42"/>
      <c r="AO3" s="40">
        <v>19.2</v>
      </c>
      <c r="AP3" s="41"/>
      <c r="AQ3" s="41"/>
      <c r="AR3" s="42"/>
      <c r="AS3" s="43">
        <v>19.2</v>
      </c>
      <c r="AT3" s="41"/>
      <c r="AU3" s="41"/>
      <c r="AV3" s="42"/>
      <c r="AW3" s="43">
        <f>SUM(AG3,AK3,AO3,AS3)</f>
        <v>74.900000000000006</v>
      </c>
      <c r="AX3" s="41">
        <f>AH3+AL3+AP3+AT3</f>
        <v>18.399999999999999</v>
      </c>
      <c r="AY3" s="41"/>
      <c r="AZ3" s="42"/>
    </row>
    <row r="4" spans="1:52" ht="25.5" customHeight="1" x14ac:dyDescent="0.25">
      <c r="A4" s="117" t="s">
        <v>55</v>
      </c>
      <c r="B4" s="71" t="s">
        <v>56</v>
      </c>
      <c r="C4" s="74">
        <v>5550</v>
      </c>
      <c r="D4" s="3">
        <v>2</v>
      </c>
      <c r="E4" s="1" t="s">
        <v>68</v>
      </c>
      <c r="F4" s="1" t="s">
        <v>69</v>
      </c>
      <c r="G4" s="291" t="s">
        <v>70</v>
      </c>
      <c r="H4" s="2" t="s">
        <v>60</v>
      </c>
      <c r="I4" s="2" t="s">
        <v>59</v>
      </c>
      <c r="J4" s="27" t="s">
        <v>71</v>
      </c>
      <c r="K4" s="2" t="s">
        <v>63</v>
      </c>
      <c r="L4" s="2" t="s">
        <v>1</v>
      </c>
      <c r="M4" s="2" t="s">
        <v>63</v>
      </c>
      <c r="N4" s="2" t="s">
        <v>64</v>
      </c>
      <c r="O4" s="3" t="s">
        <v>72</v>
      </c>
      <c r="P4" s="3" t="s">
        <v>157</v>
      </c>
      <c r="Q4" s="31" t="s">
        <v>74</v>
      </c>
      <c r="R4" s="2" t="s">
        <v>75</v>
      </c>
      <c r="S4" s="2" t="s">
        <v>66</v>
      </c>
      <c r="T4" s="29">
        <v>1</v>
      </c>
      <c r="U4" s="16" t="s">
        <v>67</v>
      </c>
      <c r="V4" s="17" t="s">
        <v>67</v>
      </c>
      <c r="W4" s="17" t="s">
        <v>67</v>
      </c>
      <c r="X4" s="15" t="s">
        <v>67</v>
      </c>
      <c r="Y4" s="17" t="s">
        <v>67</v>
      </c>
      <c r="Z4" s="15">
        <v>2</v>
      </c>
      <c r="AA4" s="15">
        <v>2</v>
      </c>
      <c r="AB4" s="15"/>
      <c r="AC4" s="15"/>
      <c r="AD4" s="15"/>
      <c r="AE4" s="15"/>
      <c r="AF4" s="18"/>
      <c r="AG4" s="44">
        <v>3.9</v>
      </c>
      <c r="AH4" s="11">
        <v>29.2</v>
      </c>
      <c r="AI4" s="11"/>
      <c r="AJ4" s="45"/>
      <c r="AK4" s="44">
        <v>4.2</v>
      </c>
      <c r="AL4" s="11"/>
      <c r="AM4" s="11"/>
      <c r="AN4" s="45"/>
      <c r="AO4" s="44">
        <v>4.3</v>
      </c>
      <c r="AP4" s="11"/>
      <c r="AQ4" s="11"/>
      <c r="AR4" s="45"/>
      <c r="AS4" s="46">
        <v>4.3</v>
      </c>
      <c r="AT4" s="11"/>
      <c r="AU4" s="11"/>
      <c r="AV4" s="45"/>
      <c r="AW4" s="43">
        <f>SUM(AG4,AK4,AO4,AS4)</f>
        <v>16.7</v>
      </c>
      <c r="AX4" s="11"/>
      <c r="AY4" s="11"/>
      <c r="AZ4" s="45"/>
    </row>
    <row r="5" spans="1:52" ht="68.25" hidden="1" customHeight="1" x14ac:dyDescent="0.25">
      <c r="A5" s="145" t="s">
        <v>76</v>
      </c>
      <c r="B5" s="7" t="s">
        <v>77</v>
      </c>
      <c r="C5" s="10">
        <v>0</v>
      </c>
      <c r="D5" s="27">
        <v>10</v>
      </c>
      <c r="E5" s="1" t="s">
        <v>78</v>
      </c>
      <c r="F5" s="1" t="s">
        <v>79</v>
      </c>
      <c r="G5" s="23" t="s">
        <v>80</v>
      </c>
      <c r="H5" s="2" t="s">
        <v>81</v>
      </c>
      <c r="I5" s="2" t="s">
        <v>70</v>
      </c>
      <c r="J5" s="3" t="s">
        <v>82</v>
      </c>
      <c r="K5" s="2" t="s">
        <v>1</v>
      </c>
      <c r="L5" s="2" t="s">
        <v>63</v>
      </c>
      <c r="M5" s="2" t="s">
        <v>63</v>
      </c>
      <c r="N5" s="2" t="s">
        <v>64</v>
      </c>
      <c r="O5" s="3" t="s">
        <v>83</v>
      </c>
      <c r="P5" s="120" t="s">
        <v>41</v>
      </c>
      <c r="Q5" s="31" t="s">
        <v>64</v>
      </c>
      <c r="R5" s="2" t="s">
        <v>84</v>
      </c>
      <c r="S5" s="2" t="s">
        <v>85</v>
      </c>
      <c r="T5" s="29"/>
      <c r="U5" s="16" t="s">
        <v>67</v>
      </c>
      <c r="V5" s="17" t="s">
        <v>67</v>
      </c>
      <c r="W5" s="17">
        <v>1</v>
      </c>
      <c r="X5" s="15" t="s">
        <v>67</v>
      </c>
      <c r="Y5" s="15" t="s">
        <v>67</v>
      </c>
      <c r="Z5" s="15">
        <v>4</v>
      </c>
      <c r="AA5" s="17" t="s">
        <v>67</v>
      </c>
      <c r="AB5" s="17" t="s">
        <v>67</v>
      </c>
      <c r="AC5" s="17" t="s">
        <v>67</v>
      </c>
      <c r="AD5" s="17" t="s">
        <v>67</v>
      </c>
      <c r="AE5" s="17" t="s">
        <v>67</v>
      </c>
      <c r="AF5" s="17" t="s">
        <v>67</v>
      </c>
      <c r="AG5" s="44"/>
      <c r="AH5" s="11"/>
      <c r="AI5" s="11"/>
      <c r="AJ5" s="45"/>
      <c r="AK5" s="44"/>
      <c r="AL5" s="11"/>
      <c r="AM5" s="11"/>
      <c r="AN5" s="45"/>
      <c r="AO5" s="44"/>
      <c r="AP5" s="11"/>
      <c r="AQ5" s="11"/>
      <c r="AR5" s="45"/>
      <c r="AS5" s="46"/>
      <c r="AT5" s="11"/>
      <c r="AU5" s="11"/>
      <c r="AV5" s="45"/>
      <c r="AW5" s="46"/>
      <c r="AX5" s="11">
        <f>AH5+AL5+AP5+AT5</f>
        <v>0</v>
      </c>
      <c r="AY5" s="11"/>
      <c r="AZ5" s="45"/>
    </row>
    <row r="6" spans="1:52" ht="39.75" customHeight="1" x14ac:dyDescent="0.25">
      <c r="A6" s="117" t="s">
        <v>55</v>
      </c>
      <c r="B6" s="7" t="s">
        <v>86</v>
      </c>
      <c r="C6" s="10">
        <v>494</v>
      </c>
      <c r="D6" s="3">
        <v>4</v>
      </c>
      <c r="E6" s="61" t="s">
        <v>87</v>
      </c>
      <c r="F6" s="1" t="s">
        <v>88</v>
      </c>
      <c r="G6" s="291" t="s">
        <v>89</v>
      </c>
      <c r="H6" s="2" t="s">
        <v>60</v>
      </c>
      <c r="I6" s="2" t="s">
        <v>61</v>
      </c>
      <c r="J6" s="3" t="s">
        <v>90</v>
      </c>
      <c r="K6" s="2" t="s">
        <v>63</v>
      </c>
      <c r="L6" s="2" t="s">
        <v>1</v>
      </c>
      <c r="M6" s="2" t="s">
        <v>63</v>
      </c>
      <c r="N6" s="2" t="s">
        <v>64</v>
      </c>
      <c r="O6" s="3" t="s">
        <v>91</v>
      </c>
      <c r="P6" s="120" t="s">
        <v>92</v>
      </c>
      <c r="Q6" s="31" t="s">
        <v>93</v>
      </c>
      <c r="R6" s="2" t="s">
        <v>94</v>
      </c>
      <c r="S6" s="2" t="s">
        <v>95</v>
      </c>
      <c r="T6" s="29">
        <v>2</v>
      </c>
      <c r="U6" s="16" t="s">
        <v>67</v>
      </c>
      <c r="V6" s="17" t="s">
        <v>67</v>
      </c>
      <c r="W6" s="15">
        <v>1</v>
      </c>
      <c r="X6" s="15">
        <v>1</v>
      </c>
      <c r="Y6" s="15">
        <v>1</v>
      </c>
      <c r="Z6" s="15">
        <v>2</v>
      </c>
      <c r="AA6" s="15">
        <v>2</v>
      </c>
      <c r="AB6" s="15"/>
      <c r="AC6" s="15"/>
      <c r="AD6" s="15"/>
      <c r="AE6" s="15"/>
      <c r="AF6" s="18"/>
      <c r="AG6" s="44">
        <v>66.3</v>
      </c>
      <c r="AH6" s="11">
        <v>60.4</v>
      </c>
      <c r="AI6" s="11"/>
      <c r="AJ6" s="45"/>
      <c r="AK6" s="44">
        <v>71.400000000000006</v>
      </c>
      <c r="AL6" s="11"/>
      <c r="AM6" s="11"/>
      <c r="AN6" s="45"/>
      <c r="AO6" s="44">
        <v>72.2</v>
      </c>
      <c r="AP6" s="11"/>
      <c r="AQ6" s="11"/>
      <c r="AR6" s="45"/>
      <c r="AS6" s="46">
        <v>72.2</v>
      </c>
      <c r="AT6" s="11"/>
      <c r="AU6" s="11"/>
      <c r="AV6" s="45"/>
      <c r="AW6" s="43">
        <f>SUM(AG6,AK6,AO6,AS6)</f>
        <v>282.09999999999997</v>
      </c>
      <c r="AX6" s="41">
        <f>AH6+AL6+AP6+AT6</f>
        <v>60.4</v>
      </c>
      <c r="AY6" s="11"/>
      <c r="AZ6" s="45"/>
    </row>
    <row r="7" spans="1:52" ht="63.75" customHeight="1" x14ac:dyDescent="0.25">
      <c r="A7" s="117" t="s">
        <v>55</v>
      </c>
      <c r="B7" s="71" t="s">
        <v>56</v>
      </c>
      <c r="C7" s="74">
        <v>5550</v>
      </c>
      <c r="D7" s="27">
        <v>5</v>
      </c>
      <c r="E7" s="294" t="s">
        <v>96</v>
      </c>
      <c r="F7" s="1" t="s">
        <v>97</v>
      </c>
      <c r="G7" s="23" t="s">
        <v>89</v>
      </c>
      <c r="H7" s="2" t="s">
        <v>60</v>
      </c>
      <c r="I7" s="2" t="s">
        <v>98</v>
      </c>
      <c r="J7" s="3" t="s">
        <v>90</v>
      </c>
      <c r="K7" s="2" t="s">
        <v>63</v>
      </c>
      <c r="L7" s="2" t="s">
        <v>1</v>
      </c>
      <c r="M7" s="2" t="s">
        <v>63</v>
      </c>
      <c r="N7" s="2" t="s">
        <v>64</v>
      </c>
      <c r="O7" s="3" t="s">
        <v>99</v>
      </c>
      <c r="P7" s="120" t="s">
        <v>92</v>
      </c>
      <c r="Q7" s="31" t="s">
        <v>93</v>
      </c>
      <c r="R7" s="2" t="s">
        <v>66</v>
      </c>
      <c r="S7" s="2" t="s">
        <v>66</v>
      </c>
      <c r="T7" s="29">
        <v>2</v>
      </c>
      <c r="U7" s="16" t="s">
        <v>67</v>
      </c>
      <c r="V7" s="17" t="s">
        <v>67</v>
      </c>
      <c r="W7" s="15">
        <v>1</v>
      </c>
      <c r="X7" s="15">
        <v>1</v>
      </c>
      <c r="Y7" s="15">
        <v>1</v>
      </c>
      <c r="Z7" s="15">
        <v>2</v>
      </c>
      <c r="AA7" s="15">
        <v>2</v>
      </c>
      <c r="AB7" s="15"/>
      <c r="AC7" s="15"/>
      <c r="AD7" s="15"/>
      <c r="AE7" s="15"/>
      <c r="AF7" s="18"/>
      <c r="AG7" s="44">
        <v>12</v>
      </c>
      <c r="AH7" s="11">
        <v>6.3</v>
      </c>
      <c r="AI7" s="11"/>
      <c r="AJ7" s="45"/>
      <c r="AK7" s="44">
        <v>18</v>
      </c>
      <c r="AL7" s="11"/>
      <c r="AM7" s="11"/>
      <c r="AN7" s="45"/>
      <c r="AO7" s="44">
        <v>18</v>
      </c>
      <c r="AP7" s="11"/>
      <c r="AQ7" s="11"/>
      <c r="AR7" s="45"/>
      <c r="AS7" s="46">
        <v>18</v>
      </c>
      <c r="AT7" s="11"/>
      <c r="AU7" s="11"/>
      <c r="AV7" s="45"/>
      <c r="AW7" s="46">
        <f>SUM(AG7,AK7,AO7,AS7)</f>
        <v>66</v>
      </c>
      <c r="AX7" s="41">
        <f>AH7+AL7+AP7+AT7</f>
        <v>6.3</v>
      </c>
      <c r="AY7" s="11"/>
      <c r="AZ7" s="45"/>
    </row>
    <row r="8" spans="1:52" ht="66" customHeight="1" x14ac:dyDescent="0.25">
      <c r="A8" s="117" t="s">
        <v>100</v>
      </c>
      <c r="B8" s="68" t="s">
        <v>101</v>
      </c>
      <c r="C8" s="10" t="s">
        <v>102</v>
      </c>
      <c r="D8" s="3">
        <v>12</v>
      </c>
      <c r="E8" s="292" t="s">
        <v>103</v>
      </c>
      <c r="F8" s="1" t="s">
        <v>104</v>
      </c>
      <c r="G8" s="291" t="s">
        <v>89</v>
      </c>
      <c r="H8" s="2" t="s">
        <v>60</v>
      </c>
      <c r="I8" s="3" t="s">
        <v>61</v>
      </c>
      <c r="J8" s="3" t="s">
        <v>90</v>
      </c>
      <c r="K8" s="2" t="s">
        <v>63</v>
      </c>
      <c r="L8" s="2" t="s">
        <v>1</v>
      </c>
      <c r="M8" s="2" t="s">
        <v>63</v>
      </c>
      <c r="N8" s="2" t="s">
        <v>64</v>
      </c>
      <c r="O8" s="3" t="s">
        <v>105</v>
      </c>
      <c r="P8" s="120" t="s">
        <v>92</v>
      </c>
      <c r="Q8" s="31" t="s">
        <v>93</v>
      </c>
      <c r="R8" s="2" t="s">
        <v>94</v>
      </c>
      <c r="S8" s="2" t="s">
        <v>95</v>
      </c>
      <c r="T8" s="29">
        <v>2</v>
      </c>
      <c r="U8" s="16" t="s">
        <v>67</v>
      </c>
      <c r="V8" s="17" t="s">
        <v>67</v>
      </c>
      <c r="W8" s="17">
        <v>1</v>
      </c>
      <c r="X8" s="15">
        <v>1</v>
      </c>
      <c r="Y8" s="15">
        <v>1</v>
      </c>
      <c r="Z8" s="15">
        <v>2</v>
      </c>
      <c r="AA8" s="15">
        <v>2</v>
      </c>
      <c r="AB8" s="15"/>
      <c r="AC8" s="15"/>
      <c r="AD8" s="15"/>
      <c r="AE8" s="15"/>
      <c r="AF8" s="18"/>
      <c r="AG8" s="44">
        <v>3.8</v>
      </c>
      <c r="AH8" s="11">
        <v>1.1499999999999999</v>
      </c>
      <c r="AI8" s="11"/>
      <c r="AJ8" s="45"/>
      <c r="AK8" s="44">
        <v>4</v>
      </c>
      <c r="AL8" s="11"/>
      <c r="AM8" s="11"/>
      <c r="AN8" s="45"/>
      <c r="AO8" s="44">
        <v>4.0999999999999996</v>
      </c>
      <c r="AP8" s="11"/>
      <c r="AQ8" s="11"/>
      <c r="AR8" s="45"/>
      <c r="AS8" s="46">
        <v>4.0999999999999996</v>
      </c>
      <c r="AT8" s="11"/>
      <c r="AU8" s="11"/>
      <c r="AV8" s="45"/>
      <c r="AW8" s="46">
        <f>SUM(AG8,AK8,AO8,AS8)</f>
        <v>15.999999999999998</v>
      </c>
      <c r="AX8" s="11">
        <f>AH8+AL8+AP8+AT8</f>
        <v>1.1499999999999999</v>
      </c>
      <c r="AY8" s="11"/>
      <c r="AZ8" s="45"/>
    </row>
    <row r="9" spans="1:52" ht="37.5" hidden="1" customHeight="1" x14ac:dyDescent="0.25">
      <c r="A9" s="117" t="s">
        <v>55</v>
      </c>
      <c r="B9" s="69" t="s">
        <v>106</v>
      </c>
      <c r="C9" s="64">
        <v>50</v>
      </c>
      <c r="D9" s="27">
        <v>7</v>
      </c>
      <c r="E9" s="72" t="s">
        <v>107</v>
      </c>
      <c r="F9" s="1" t="s">
        <v>108</v>
      </c>
      <c r="G9" s="23" t="s">
        <v>70</v>
      </c>
      <c r="H9" s="2" t="s">
        <v>60</v>
      </c>
      <c r="I9" s="2" t="s">
        <v>109</v>
      </c>
      <c r="J9" s="3" t="s">
        <v>110</v>
      </c>
      <c r="K9" s="2" t="s">
        <v>63</v>
      </c>
      <c r="L9" s="2" t="s">
        <v>1</v>
      </c>
      <c r="M9" s="2" t="s">
        <v>63</v>
      </c>
      <c r="N9" s="2" t="s">
        <v>64</v>
      </c>
      <c r="O9" s="3" t="s">
        <v>111</v>
      </c>
      <c r="P9" s="2" t="s">
        <v>39</v>
      </c>
      <c r="Q9" s="31" t="s">
        <v>64</v>
      </c>
      <c r="R9" s="2" t="s">
        <v>75</v>
      </c>
      <c r="S9" s="2" t="s">
        <v>66</v>
      </c>
      <c r="T9" s="29"/>
      <c r="U9" s="16" t="s">
        <v>67</v>
      </c>
      <c r="V9" s="17" t="s">
        <v>67</v>
      </c>
      <c r="W9" s="17" t="s">
        <v>67</v>
      </c>
      <c r="X9" s="15">
        <v>4</v>
      </c>
      <c r="Y9" s="17" t="s">
        <v>67</v>
      </c>
      <c r="Z9" s="17" t="s">
        <v>67</v>
      </c>
      <c r="AA9" s="17" t="s">
        <v>67</v>
      </c>
      <c r="AB9" s="17" t="s">
        <v>67</v>
      </c>
      <c r="AC9" s="17" t="s">
        <v>67</v>
      </c>
      <c r="AD9" s="17" t="s">
        <v>67</v>
      </c>
      <c r="AE9" s="17" t="s">
        <v>67</v>
      </c>
      <c r="AF9" s="17" t="s">
        <v>67</v>
      </c>
      <c r="AG9" s="44">
        <v>14</v>
      </c>
      <c r="AH9" s="11">
        <v>20.100000000000001</v>
      </c>
      <c r="AI9" s="11"/>
      <c r="AJ9" s="45"/>
      <c r="AK9" s="44">
        <v>14</v>
      </c>
      <c r="AL9" s="11"/>
      <c r="AM9" s="11"/>
      <c r="AN9" s="45"/>
      <c r="AO9" s="44">
        <v>14</v>
      </c>
      <c r="AP9" s="11"/>
      <c r="AQ9" s="11"/>
      <c r="AR9" s="45"/>
      <c r="AS9" s="46">
        <v>14</v>
      </c>
      <c r="AT9" s="11"/>
      <c r="AU9" s="11"/>
      <c r="AV9" s="45"/>
      <c r="AW9" s="43">
        <f>SUM(AG9,AK9,AO9,AS9)</f>
        <v>56</v>
      </c>
      <c r="AX9" s="11"/>
      <c r="AY9" s="11"/>
      <c r="AZ9" s="45"/>
    </row>
    <row r="10" spans="1:52" ht="54.75" customHeight="1" x14ac:dyDescent="0.25">
      <c r="A10" s="117" t="s">
        <v>55</v>
      </c>
      <c r="B10" s="69" t="s">
        <v>56</v>
      </c>
      <c r="C10" s="126">
        <v>5550</v>
      </c>
      <c r="D10" s="3">
        <v>6</v>
      </c>
      <c r="E10" s="294" t="s">
        <v>112</v>
      </c>
      <c r="F10" s="1" t="s">
        <v>113</v>
      </c>
      <c r="G10" s="23" t="s">
        <v>114</v>
      </c>
      <c r="H10" s="2" t="s">
        <v>115</v>
      </c>
      <c r="I10" s="2" t="s">
        <v>89</v>
      </c>
      <c r="J10" s="2"/>
      <c r="K10" s="2" t="s">
        <v>63</v>
      </c>
      <c r="L10" s="2" t="s">
        <v>63</v>
      </c>
      <c r="M10" s="2" t="s">
        <v>63</v>
      </c>
      <c r="N10" s="2" t="s">
        <v>64</v>
      </c>
      <c r="O10" s="3"/>
      <c r="P10" s="3" t="s">
        <v>384</v>
      </c>
      <c r="Q10" s="31" t="s">
        <v>93</v>
      </c>
      <c r="R10" s="2" t="s">
        <v>117</v>
      </c>
      <c r="S10" s="2" t="s">
        <v>85</v>
      </c>
      <c r="T10" s="29">
        <v>3</v>
      </c>
      <c r="U10" s="16" t="s">
        <v>67</v>
      </c>
      <c r="V10" s="17" t="s">
        <v>67</v>
      </c>
      <c r="W10" s="17" t="s">
        <v>67</v>
      </c>
      <c r="X10" s="15">
        <v>1</v>
      </c>
      <c r="Y10" s="15">
        <v>2</v>
      </c>
      <c r="Z10" s="15">
        <v>2</v>
      </c>
      <c r="AA10" s="15">
        <v>2</v>
      </c>
      <c r="AB10" s="15"/>
      <c r="AC10" s="15"/>
      <c r="AD10" s="15"/>
      <c r="AE10" s="15"/>
      <c r="AF10" s="18"/>
      <c r="AG10" s="44"/>
      <c r="AH10" s="11"/>
      <c r="AI10" s="11"/>
      <c r="AJ10" s="45"/>
      <c r="AK10" s="44"/>
      <c r="AL10" s="11"/>
      <c r="AM10" s="11"/>
      <c r="AN10" s="45"/>
      <c r="AO10" s="44"/>
      <c r="AP10" s="11"/>
      <c r="AQ10" s="11"/>
      <c r="AR10" s="45"/>
      <c r="AS10" s="46"/>
      <c r="AT10" s="11"/>
      <c r="AU10" s="11"/>
      <c r="AV10" s="45"/>
      <c r="AW10" s="46"/>
      <c r="AX10" s="11"/>
      <c r="AY10" s="11"/>
      <c r="AZ10" s="45"/>
    </row>
    <row r="11" spans="1:52" ht="24.75" customHeight="1" x14ac:dyDescent="0.25">
      <c r="A11" s="117" t="s">
        <v>100</v>
      </c>
      <c r="B11" s="71" t="s">
        <v>101</v>
      </c>
      <c r="C11" s="10" t="s">
        <v>102</v>
      </c>
      <c r="D11" s="27">
        <v>13</v>
      </c>
      <c r="E11" s="293" t="s">
        <v>118</v>
      </c>
      <c r="F11" s="1" t="s">
        <v>119</v>
      </c>
      <c r="G11" s="291" t="s">
        <v>114</v>
      </c>
      <c r="H11" s="2" t="s">
        <v>115</v>
      </c>
      <c r="I11" s="3"/>
      <c r="J11" s="3"/>
      <c r="K11" s="2" t="s">
        <v>63</v>
      </c>
      <c r="L11" s="2" t="s">
        <v>63</v>
      </c>
      <c r="M11" s="2" t="s">
        <v>63</v>
      </c>
      <c r="N11" s="2" t="s">
        <v>64</v>
      </c>
      <c r="O11" s="3" t="s">
        <v>105</v>
      </c>
      <c r="P11" s="120" t="s">
        <v>385</v>
      </c>
      <c r="Q11" s="31" t="s">
        <v>93</v>
      </c>
      <c r="R11" s="2" t="s">
        <v>117</v>
      </c>
      <c r="S11" s="2" t="s">
        <v>85</v>
      </c>
      <c r="T11" s="29">
        <v>3</v>
      </c>
      <c r="U11" s="16" t="s">
        <v>67</v>
      </c>
      <c r="V11" s="17" t="s">
        <v>67</v>
      </c>
      <c r="W11" s="15">
        <v>1</v>
      </c>
      <c r="X11" s="15">
        <v>1</v>
      </c>
      <c r="Y11" s="15">
        <v>2</v>
      </c>
      <c r="Z11" s="15">
        <v>2</v>
      </c>
      <c r="AA11" s="15">
        <v>2</v>
      </c>
      <c r="AB11" s="15"/>
      <c r="AC11" s="15"/>
      <c r="AD11" s="15"/>
      <c r="AE11" s="15"/>
      <c r="AF11" s="18"/>
      <c r="AG11" s="44"/>
      <c r="AH11" s="11"/>
      <c r="AI11" s="11"/>
      <c r="AJ11" s="45"/>
      <c r="AK11" s="44"/>
      <c r="AL11" s="11"/>
      <c r="AM11" s="11"/>
      <c r="AN11" s="45"/>
      <c r="AO11" s="44"/>
      <c r="AP11" s="11"/>
      <c r="AQ11" s="11"/>
      <c r="AR11" s="45"/>
      <c r="AS11" s="46"/>
      <c r="AT11" s="11"/>
      <c r="AU11" s="11"/>
      <c r="AV11" s="45"/>
      <c r="AW11" s="43"/>
      <c r="AX11" s="41">
        <f>AH11+AL11+AP11+AT11</f>
        <v>0</v>
      </c>
      <c r="AY11" s="11"/>
      <c r="AZ11" s="45"/>
    </row>
    <row r="12" spans="1:52" ht="38.25" hidden="1" customHeight="1" x14ac:dyDescent="0.25">
      <c r="A12" s="118" t="s">
        <v>76</v>
      </c>
      <c r="B12" s="63" t="s">
        <v>121</v>
      </c>
      <c r="C12" s="64">
        <v>6</v>
      </c>
      <c r="D12" s="3">
        <v>11</v>
      </c>
      <c r="E12" s="61" t="s">
        <v>122</v>
      </c>
      <c r="F12" s="1" t="s">
        <v>123</v>
      </c>
      <c r="G12" s="23" t="s">
        <v>80</v>
      </c>
      <c r="H12" s="2" t="s">
        <v>81</v>
      </c>
      <c r="I12" s="2" t="s">
        <v>70</v>
      </c>
      <c r="J12" s="3" t="s">
        <v>124</v>
      </c>
      <c r="K12" s="2" t="s">
        <v>1</v>
      </c>
      <c r="L12" s="2" t="s">
        <v>63</v>
      </c>
      <c r="M12" s="2" t="s">
        <v>63</v>
      </c>
      <c r="N12" s="2" t="s">
        <v>64</v>
      </c>
      <c r="O12" s="3" t="s">
        <v>125</v>
      </c>
      <c r="P12" s="120" t="s">
        <v>41</v>
      </c>
      <c r="Q12" s="31" t="s">
        <v>64</v>
      </c>
      <c r="R12" s="2" t="s">
        <v>84</v>
      </c>
      <c r="S12" s="2" t="s">
        <v>85</v>
      </c>
      <c r="T12" s="29"/>
      <c r="U12" s="16" t="s">
        <v>67</v>
      </c>
      <c r="V12" s="17" t="s">
        <v>67</v>
      </c>
      <c r="W12" s="15">
        <v>1</v>
      </c>
      <c r="X12" s="15" t="s">
        <v>67</v>
      </c>
      <c r="Y12" s="15" t="s">
        <v>67</v>
      </c>
      <c r="Z12" s="15">
        <v>4</v>
      </c>
      <c r="AA12" s="17" t="s">
        <v>67</v>
      </c>
      <c r="AB12" s="17" t="s">
        <v>67</v>
      </c>
      <c r="AC12" s="17" t="s">
        <v>67</v>
      </c>
      <c r="AD12" s="17" t="s">
        <v>67</v>
      </c>
      <c r="AE12" s="17" t="s">
        <v>67</v>
      </c>
      <c r="AF12" s="17" t="s">
        <v>67</v>
      </c>
      <c r="AG12" s="44"/>
      <c r="AH12" s="11"/>
      <c r="AI12" s="11"/>
      <c r="AJ12" s="45"/>
      <c r="AK12" s="44"/>
      <c r="AL12" s="11"/>
      <c r="AM12" s="11"/>
      <c r="AN12" s="45"/>
      <c r="AO12" s="44"/>
      <c r="AP12" s="11"/>
      <c r="AQ12" s="11"/>
      <c r="AR12" s="45"/>
      <c r="AS12" s="46"/>
      <c r="AT12" s="11"/>
      <c r="AU12" s="11"/>
      <c r="AV12" s="45"/>
      <c r="AW12" s="43"/>
      <c r="AX12" s="41">
        <f>AH12+AL12+AP12+AT12</f>
        <v>0</v>
      </c>
      <c r="AY12" s="11"/>
      <c r="AZ12" s="45"/>
    </row>
    <row r="13" spans="1:52" ht="49.5" customHeight="1" x14ac:dyDescent="0.25">
      <c r="A13" s="21" t="s">
        <v>100</v>
      </c>
      <c r="B13" s="69" t="s">
        <v>136</v>
      </c>
      <c r="C13" s="64">
        <v>2.3199999999999998</v>
      </c>
      <c r="D13" s="27">
        <v>28</v>
      </c>
      <c r="E13" s="61" t="s">
        <v>176</v>
      </c>
      <c r="F13" s="1" t="s">
        <v>177</v>
      </c>
      <c r="G13" s="23" t="s">
        <v>114</v>
      </c>
      <c r="H13" s="2" t="s">
        <v>115</v>
      </c>
      <c r="I13" s="2" t="s">
        <v>178</v>
      </c>
      <c r="J13" s="2"/>
      <c r="K13" s="2" t="s">
        <v>63</v>
      </c>
      <c r="L13" s="2" t="s">
        <v>1</v>
      </c>
      <c r="M13" s="2" t="s">
        <v>1</v>
      </c>
      <c r="N13" s="2" t="s">
        <v>67</v>
      </c>
      <c r="O13" s="3"/>
      <c r="P13" s="3" t="s">
        <v>387</v>
      </c>
      <c r="Q13" s="31" t="s">
        <v>74</v>
      </c>
      <c r="R13" s="2"/>
      <c r="S13" s="2"/>
      <c r="T13" s="29">
        <v>3</v>
      </c>
      <c r="U13" s="16" t="s">
        <v>67</v>
      </c>
      <c r="V13" s="17" t="s">
        <v>67</v>
      </c>
      <c r="W13" s="15" t="s">
        <v>67</v>
      </c>
      <c r="X13" s="15" t="s">
        <v>67</v>
      </c>
      <c r="Y13" s="15" t="s">
        <v>67</v>
      </c>
      <c r="Z13" s="15" t="s">
        <v>67</v>
      </c>
      <c r="AA13" s="15">
        <v>2</v>
      </c>
      <c r="AB13" s="15"/>
      <c r="AC13" s="15"/>
      <c r="AD13" s="15"/>
      <c r="AE13" s="15"/>
      <c r="AF13" s="18"/>
      <c r="AG13" s="44"/>
      <c r="AH13" s="11"/>
      <c r="AI13" s="11"/>
      <c r="AJ13" s="45"/>
      <c r="AK13" s="44"/>
      <c r="AL13" s="11"/>
      <c r="AM13" s="11"/>
      <c r="AN13" s="45"/>
      <c r="AO13" s="44"/>
      <c r="AP13" s="11"/>
      <c r="AQ13" s="11"/>
      <c r="AR13" s="45"/>
      <c r="AS13" s="46"/>
      <c r="AT13" s="11"/>
      <c r="AU13" s="11"/>
      <c r="AV13" s="45"/>
      <c r="AW13" s="46"/>
      <c r="AX13" s="41"/>
      <c r="AY13" s="11"/>
      <c r="AZ13" s="45"/>
    </row>
    <row r="14" spans="1:52" ht="57" hidden="1" customHeight="1" x14ac:dyDescent="0.25">
      <c r="A14" s="21" t="s">
        <v>55</v>
      </c>
      <c r="B14" s="69" t="s">
        <v>56</v>
      </c>
      <c r="C14" s="126">
        <v>5550</v>
      </c>
      <c r="D14" s="3">
        <v>9</v>
      </c>
      <c r="E14" s="149" t="s">
        <v>129</v>
      </c>
      <c r="F14" s="1" t="s">
        <v>130</v>
      </c>
      <c r="G14" s="23" t="s">
        <v>98</v>
      </c>
      <c r="H14" s="2" t="s">
        <v>115</v>
      </c>
      <c r="I14" s="2"/>
      <c r="J14" s="2"/>
      <c r="K14" s="2" t="s">
        <v>63</v>
      </c>
      <c r="L14" s="2" t="s">
        <v>63</v>
      </c>
      <c r="M14" s="2" t="s">
        <v>63</v>
      </c>
      <c r="N14" s="2" t="s">
        <v>64</v>
      </c>
      <c r="O14" s="3" t="s">
        <v>99</v>
      </c>
      <c r="P14" s="120" t="s">
        <v>382</v>
      </c>
      <c r="Q14" s="31" t="s">
        <v>64</v>
      </c>
      <c r="R14" s="2" t="s">
        <v>128</v>
      </c>
      <c r="S14" s="2" t="s">
        <v>85</v>
      </c>
      <c r="T14" s="29"/>
      <c r="U14" s="16" t="s">
        <v>67</v>
      </c>
      <c r="V14" s="17" t="s">
        <v>67</v>
      </c>
      <c r="W14" s="15">
        <v>2</v>
      </c>
      <c r="X14" s="15">
        <v>1</v>
      </c>
      <c r="Y14" s="15">
        <v>1</v>
      </c>
      <c r="Z14" s="15">
        <v>2</v>
      </c>
      <c r="AA14" s="15">
        <v>4</v>
      </c>
      <c r="AB14" s="15"/>
      <c r="AC14" s="15"/>
      <c r="AD14" s="15"/>
      <c r="AE14" s="15"/>
      <c r="AF14" s="18"/>
      <c r="AG14" s="44"/>
      <c r="AH14" s="11"/>
      <c r="AI14" s="11"/>
      <c r="AJ14" s="45"/>
      <c r="AK14" s="44"/>
      <c r="AL14" s="11"/>
      <c r="AM14" s="11"/>
      <c r="AN14" s="45"/>
      <c r="AO14" s="44"/>
      <c r="AP14" s="11"/>
      <c r="AQ14" s="11"/>
      <c r="AR14" s="45"/>
      <c r="AS14" s="46"/>
      <c r="AT14" s="11"/>
      <c r="AU14" s="11"/>
      <c r="AV14" s="45"/>
      <c r="AW14" s="46"/>
      <c r="AX14" s="41">
        <f>AH14+AL14+AP14+AT14</f>
        <v>0</v>
      </c>
      <c r="AY14" s="11"/>
      <c r="AZ14" s="45"/>
    </row>
    <row r="15" spans="1:52" ht="27" customHeight="1" x14ac:dyDescent="0.25">
      <c r="A15" s="21" t="s">
        <v>100</v>
      </c>
      <c r="B15" s="69" t="s">
        <v>101</v>
      </c>
      <c r="C15" s="64" t="s">
        <v>102</v>
      </c>
      <c r="D15" s="27">
        <v>14</v>
      </c>
      <c r="E15" s="292" t="s">
        <v>118</v>
      </c>
      <c r="F15" s="1" t="s">
        <v>127</v>
      </c>
      <c r="G15" s="291" t="s">
        <v>98</v>
      </c>
      <c r="H15" s="2" t="s">
        <v>115</v>
      </c>
      <c r="I15" s="3"/>
      <c r="J15" s="3"/>
      <c r="K15" s="2" t="s">
        <v>63</v>
      </c>
      <c r="L15" s="2" t="s">
        <v>1</v>
      </c>
      <c r="M15" s="2" t="s">
        <v>1</v>
      </c>
      <c r="N15" s="2" t="s">
        <v>67</v>
      </c>
      <c r="O15" s="3" t="s">
        <v>105</v>
      </c>
      <c r="P15" s="3" t="s">
        <v>73</v>
      </c>
      <c r="Q15" s="31" t="s">
        <v>74</v>
      </c>
      <c r="R15" s="2" t="s">
        <v>128</v>
      </c>
      <c r="S15" s="2" t="s">
        <v>128</v>
      </c>
      <c r="T15" s="29">
        <v>4</v>
      </c>
      <c r="U15" s="16" t="s">
        <v>67</v>
      </c>
      <c r="V15" s="17" t="s">
        <v>67</v>
      </c>
      <c r="W15" s="15" t="s">
        <v>67</v>
      </c>
      <c r="X15" s="15" t="s">
        <v>67</v>
      </c>
      <c r="Y15" s="15" t="s">
        <v>67</v>
      </c>
      <c r="Z15" s="15">
        <v>2</v>
      </c>
      <c r="AA15" s="15">
        <v>2</v>
      </c>
      <c r="AB15" s="15"/>
      <c r="AC15" s="15"/>
      <c r="AD15" s="15"/>
      <c r="AE15" s="15"/>
      <c r="AF15" s="18"/>
      <c r="AG15" s="44"/>
      <c r="AH15" s="11"/>
      <c r="AI15" s="11"/>
      <c r="AJ15" s="45"/>
      <c r="AK15" s="44"/>
      <c r="AL15" s="11"/>
      <c r="AM15" s="11"/>
      <c r="AN15" s="45"/>
      <c r="AO15" s="44"/>
      <c r="AP15" s="11"/>
      <c r="AQ15" s="11"/>
      <c r="AR15" s="45"/>
      <c r="AS15" s="46"/>
      <c r="AT15" s="11"/>
      <c r="AU15" s="11"/>
      <c r="AV15" s="45"/>
      <c r="AW15" s="43"/>
      <c r="AX15" s="41"/>
      <c r="AY15" s="11"/>
      <c r="AZ15" s="45"/>
    </row>
    <row r="16" spans="1:52" ht="27" hidden="1" customHeight="1" x14ac:dyDescent="0.25">
      <c r="A16" s="21" t="s">
        <v>100</v>
      </c>
      <c r="B16" s="69" t="s">
        <v>136</v>
      </c>
      <c r="C16" s="64">
        <v>2.3199999999999998</v>
      </c>
      <c r="D16" s="3">
        <v>20</v>
      </c>
      <c r="E16" s="149" t="s">
        <v>137</v>
      </c>
      <c r="F16" s="1" t="s">
        <v>138</v>
      </c>
      <c r="G16" s="23" t="s">
        <v>98</v>
      </c>
      <c r="H16" s="2" t="s">
        <v>115</v>
      </c>
      <c r="I16" s="2"/>
      <c r="J16" s="2"/>
      <c r="K16" s="2" t="s">
        <v>63</v>
      </c>
      <c r="L16" s="2" t="s">
        <v>63</v>
      </c>
      <c r="M16" s="2" t="s">
        <v>63</v>
      </c>
      <c r="N16" s="2" t="s">
        <v>64</v>
      </c>
      <c r="O16" s="3"/>
      <c r="P16" s="3" t="s">
        <v>41</v>
      </c>
      <c r="Q16" s="31" t="s">
        <v>64</v>
      </c>
      <c r="R16" s="2" t="s">
        <v>128</v>
      </c>
      <c r="S16" s="2" t="s">
        <v>85</v>
      </c>
      <c r="T16" s="29"/>
      <c r="U16" s="16" t="s">
        <v>67</v>
      </c>
      <c r="V16" s="17" t="s">
        <v>67</v>
      </c>
      <c r="W16" s="17" t="s">
        <v>67</v>
      </c>
      <c r="X16" s="15" t="s">
        <v>67</v>
      </c>
      <c r="Y16" s="15" t="s">
        <v>67</v>
      </c>
      <c r="Z16" s="15">
        <v>4</v>
      </c>
      <c r="AA16" s="15"/>
      <c r="AB16" s="15"/>
      <c r="AC16" s="15"/>
      <c r="AD16" s="15"/>
      <c r="AE16" s="15"/>
      <c r="AF16" s="18"/>
      <c r="AG16" s="44"/>
      <c r="AH16" s="11"/>
      <c r="AI16" s="11"/>
      <c r="AJ16" s="45"/>
      <c r="AK16" s="44"/>
      <c r="AL16" s="11"/>
      <c r="AM16" s="11"/>
      <c r="AN16" s="45"/>
      <c r="AO16" s="44"/>
      <c r="AP16" s="11"/>
      <c r="AQ16" s="11"/>
      <c r="AR16" s="45"/>
      <c r="AS16" s="46"/>
      <c r="AT16" s="11"/>
      <c r="AU16" s="11"/>
      <c r="AV16" s="45"/>
      <c r="AW16" s="46"/>
      <c r="AX16" s="11"/>
      <c r="AY16" s="11"/>
      <c r="AZ16" s="45"/>
    </row>
    <row r="17" spans="1:52" ht="40.5" hidden="1" x14ac:dyDescent="0.25">
      <c r="A17" s="21" t="s">
        <v>100</v>
      </c>
      <c r="B17" s="69" t="s">
        <v>101</v>
      </c>
      <c r="C17" s="64" t="s">
        <v>102</v>
      </c>
      <c r="D17" s="27">
        <v>15</v>
      </c>
      <c r="E17" s="1" t="s">
        <v>139</v>
      </c>
      <c r="F17" s="1" t="s">
        <v>140</v>
      </c>
      <c r="G17" s="23" t="s">
        <v>59</v>
      </c>
      <c r="H17" s="2" t="s">
        <v>60</v>
      </c>
      <c r="I17" s="2" t="s">
        <v>94</v>
      </c>
      <c r="J17" s="3" t="s">
        <v>141</v>
      </c>
      <c r="K17" s="2" t="s">
        <v>63</v>
      </c>
      <c r="L17" s="2" t="s">
        <v>63</v>
      </c>
      <c r="M17" s="2" t="s">
        <v>63</v>
      </c>
      <c r="N17" s="2" t="s">
        <v>64</v>
      </c>
      <c r="O17" s="3" t="s">
        <v>142</v>
      </c>
      <c r="P17" s="2" t="s">
        <v>44</v>
      </c>
      <c r="Q17" s="31" t="s">
        <v>126</v>
      </c>
      <c r="R17" s="2" t="s">
        <v>143</v>
      </c>
      <c r="S17" s="2" t="s">
        <v>85</v>
      </c>
      <c r="T17" s="29"/>
      <c r="U17" s="16" t="s">
        <v>67</v>
      </c>
      <c r="V17" s="17" t="s">
        <v>67</v>
      </c>
      <c r="W17" s="17" t="s">
        <v>67</v>
      </c>
      <c r="X17" s="15" t="s">
        <v>67</v>
      </c>
      <c r="Y17" s="15" t="s">
        <v>67</v>
      </c>
      <c r="Z17" s="15" t="s">
        <v>67</v>
      </c>
      <c r="AA17" s="15" t="s">
        <v>67</v>
      </c>
      <c r="AB17" s="15"/>
      <c r="AC17" s="15"/>
      <c r="AD17" s="15"/>
      <c r="AE17" s="15"/>
      <c r="AF17" s="18"/>
      <c r="AG17" s="44">
        <v>0</v>
      </c>
      <c r="AH17" s="11">
        <v>0</v>
      </c>
      <c r="AI17" s="11"/>
      <c r="AJ17" s="45"/>
      <c r="AK17" s="44">
        <v>6.4</v>
      </c>
      <c r="AL17" s="11"/>
      <c r="AM17" s="11"/>
      <c r="AN17" s="45"/>
      <c r="AO17" s="44">
        <v>6.5</v>
      </c>
      <c r="AP17" s="11"/>
      <c r="AQ17" s="11"/>
      <c r="AR17" s="45"/>
      <c r="AS17" s="46">
        <v>6.5</v>
      </c>
      <c r="AT17" s="11"/>
      <c r="AU17" s="11"/>
      <c r="AV17" s="45"/>
      <c r="AW17" s="43">
        <f>SUM(AG17,AK17,AO17,AS17)</f>
        <v>19.399999999999999</v>
      </c>
      <c r="AX17" s="11"/>
      <c r="AY17" s="11"/>
      <c r="AZ17" s="45"/>
    </row>
    <row r="18" spans="1:52" ht="54" hidden="1" x14ac:dyDescent="0.25">
      <c r="A18" s="21" t="s">
        <v>131</v>
      </c>
      <c r="B18" s="69" t="s">
        <v>132</v>
      </c>
      <c r="C18" s="64">
        <v>0</v>
      </c>
      <c r="D18" s="3">
        <v>16</v>
      </c>
      <c r="E18" s="61" t="s">
        <v>144</v>
      </c>
      <c r="F18" s="1" t="s">
        <v>145</v>
      </c>
      <c r="G18" s="23" t="s">
        <v>114</v>
      </c>
      <c r="H18" s="2" t="s">
        <v>115</v>
      </c>
      <c r="I18" s="2"/>
      <c r="J18" s="2"/>
      <c r="K18" s="2" t="s">
        <v>1</v>
      </c>
      <c r="L18" s="2" t="s">
        <v>1</v>
      </c>
      <c r="M18" s="2" t="s">
        <v>1</v>
      </c>
      <c r="N18" s="2" t="s">
        <v>67</v>
      </c>
      <c r="O18" s="14" t="s">
        <v>146</v>
      </c>
      <c r="P18" s="120" t="s">
        <v>120</v>
      </c>
      <c r="Q18" s="31" t="s">
        <v>64</v>
      </c>
      <c r="R18" s="2" t="s">
        <v>135</v>
      </c>
      <c r="S18" s="2" t="s">
        <v>128</v>
      </c>
      <c r="T18" s="29"/>
      <c r="U18" s="16" t="s">
        <v>67</v>
      </c>
      <c r="V18" s="17" t="s">
        <v>67</v>
      </c>
      <c r="W18" s="17" t="s">
        <v>67</v>
      </c>
      <c r="X18" s="15">
        <v>4</v>
      </c>
      <c r="Y18" s="17" t="s">
        <v>67</v>
      </c>
      <c r="Z18" s="17" t="s">
        <v>67</v>
      </c>
      <c r="AA18" s="17" t="s">
        <v>67</v>
      </c>
      <c r="AB18" s="17" t="s">
        <v>67</v>
      </c>
      <c r="AC18" s="17" t="s">
        <v>67</v>
      </c>
      <c r="AD18" s="17" t="s">
        <v>67</v>
      </c>
      <c r="AE18" s="17" t="s">
        <v>67</v>
      </c>
      <c r="AF18" s="17" t="s">
        <v>67</v>
      </c>
      <c r="AG18" s="44"/>
      <c r="AH18" s="11"/>
      <c r="AI18" s="11"/>
      <c r="AJ18" s="45"/>
      <c r="AK18" s="44"/>
      <c r="AL18" s="11"/>
      <c r="AM18" s="11"/>
      <c r="AN18" s="45"/>
      <c r="AO18" s="44"/>
      <c r="AP18" s="11"/>
      <c r="AQ18" s="11"/>
      <c r="AR18" s="45"/>
      <c r="AS18" s="46"/>
      <c r="AT18" s="11"/>
      <c r="AU18" s="11"/>
      <c r="AV18" s="45"/>
      <c r="AW18" s="46"/>
      <c r="AX18" s="11"/>
      <c r="AY18" s="11"/>
      <c r="AZ18" s="45"/>
    </row>
    <row r="19" spans="1:52" ht="135" hidden="1" x14ac:dyDescent="0.25">
      <c r="A19" s="21" t="s">
        <v>100</v>
      </c>
      <c r="B19" s="69" t="s">
        <v>101</v>
      </c>
      <c r="C19" s="64" t="s">
        <v>102</v>
      </c>
      <c r="D19" s="27">
        <v>17</v>
      </c>
      <c r="E19" s="72" t="s">
        <v>147</v>
      </c>
      <c r="F19" s="1" t="s">
        <v>148</v>
      </c>
      <c r="G19" s="23" t="s">
        <v>61</v>
      </c>
      <c r="H19" s="2" t="s">
        <v>60</v>
      </c>
      <c r="I19" s="2" t="s">
        <v>109</v>
      </c>
      <c r="J19" s="3" t="s">
        <v>149</v>
      </c>
      <c r="K19" s="2" t="s">
        <v>63</v>
      </c>
      <c r="L19" s="2" t="s">
        <v>1</v>
      </c>
      <c r="M19" s="2" t="s">
        <v>63</v>
      </c>
      <c r="N19" s="2" t="s">
        <v>64</v>
      </c>
      <c r="O19" s="3" t="s">
        <v>150</v>
      </c>
      <c r="P19" s="140" t="s">
        <v>38</v>
      </c>
      <c r="Q19" s="31" t="s">
        <v>64</v>
      </c>
      <c r="R19" s="2" t="s">
        <v>66</v>
      </c>
      <c r="S19" s="2" t="s">
        <v>66</v>
      </c>
      <c r="T19" s="29"/>
      <c r="U19" s="16" t="s">
        <v>67</v>
      </c>
      <c r="V19" s="17" t="s">
        <v>67</v>
      </c>
      <c r="W19" s="15">
        <v>4</v>
      </c>
      <c r="X19" s="17" t="s">
        <v>67</v>
      </c>
      <c r="Y19" s="17" t="s">
        <v>67</v>
      </c>
      <c r="Z19" s="17" t="s">
        <v>67</v>
      </c>
      <c r="AA19" s="17" t="s">
        <v>67</v>
      </c>
      <c r="AB19" s="17" t="s">
        <v>67</v>
      </c>
      <c r="AC19" s="17" t="s">
        <v>67</v>
      </c>
      <c r="AD19" s="17" t="s">
        <v>67</v>
      </c>
      <c r="AE19" s="17" t="s">
        <v>67</v>
      </c>
      <c r="AF19" s="17" t="s">
        <v>67</v>
      </c>
      <c r="AG19" s="44">
        <v>6.6</v>
      </c>
      <c r="AH19" s="11">
        <v>6.9</v>
      </c>
      <c r="AI19" s="11"/>
      <c r="AJ19" s="45"/>
      <c r="AK19" s="44">
        <v>7.1</v>
      </c>
      <c r="AL19" s="11"/>
      <c r="AM19" s="11"/>
      <c r="AN19" s="45"/>
      <c r="AO19" s="44">
        <v>7.2</v>
      </c>
      <c r="AP19" s="11"/>
      <c r="AQ19" s="11"/>
      <c r="AR19" s="45"/>
      <c r="AS19" s="46">
        <v>7.2</v>
      </c>
      <c r="AT19" s="11"/>
      <c r="AU19" s="11"/>
      <c r="AV19" s="45"/>
      <c r="AW19" s="46">
        <f>SUM(AG19,AK19,AO19,AS19)</f>
        <v>28.099999999999998</v>
      </c>
      <c r="AX19" s="41">
        <f>AH19+AL19+AP19+AT19</f>
        <v>6.9</v>
      </c>
      <c r="AY19" s="11"/>
      <c r="AZ19" s="45"/>
    </row>
    <row r="20" spans="1:52" ht="67.5" x14ac:dyDescent="0.25">
      <c r="A20" s="21" t="s">
        <v>131</v>
      </c>
      <c r="B20" s="69" t="s">
        <v>132</v>
      </c>
      <c r="C20" s="64">
        <v>0</v>
      </c>
      <c r="D20" s="3">
        <v>26</v>
      </c>
      <c r="E20" s="61" t="s">
        <v>133</v>
      </c>
      <c r="F20" s="1" t="s">
        <v>420</v>
      </c>
      <c r="G20" s="23" t="s">
        <v>98</v>
      </c>
      <c r="H20" s="2" t="s">
        <v>115</v>
      </c>
      <c r="I20" s="2"/>
      <c r="J20" s="2"/>
      <c r="K20" s="2" t="s">
        <v>1</v>
      </c>
      <c r="L20" s="2" t="s">
        <v>63</v>
      </c>
      <c r="M20" s="2" t="s">
        <v>63</v>
      </c>
      <c r="N20" s="2" t="s">
        <v>64</v>
      </c>
      <c r="O20" s="3" t="s">
        <v>134</v>
      </c>
      <c r="P20" s="120" t="s">
        <v>386</v>
      </c>
      <c r="Q20" s="31" t="s">
        <v>93</v>
      </c>
      <c r="R20" s="2" t="s">
        <v>135</v>
      </c>
      <c r="S20" s="2" t="s">
        <v>85</v>
      </c>
      <c r="T20" s="29">
        <v>4</v>
      </c>
      <c r="U20" s="16" t="s">
        <v>67</v>
      </c>
      <c r="V20" s="17" t="s">
        <v>67</v>
      </c>
      <c r="W20" s="17">
        <v>1</v>
      </c>
      <c r="X20" s="15">
        <v>1</v>
      </c>
      <c r="Y20" s="15">
        <v>1</v>
      </c>
      <c r="Z20" s="17">
        <v>2</v>
      </c>
      <c r="AA20" s="15">
        <v>2</v>
      </c>
      <c r="AB20" s="15"/>
      <c r="AC20" s="15"/>
      <c r="AD20" s="15"/>
      <c r="AE20" s="15"/>
      <c r="AF20" s="18"/>
      <c r="AG20" s="44"/>
      <c r="AH20" s="11"/>
      <c r="AI20" s="11"/>
      <c r="AJ20" s="45"/>
      <c r="AK20" s="44"/>
      <c r="AL20" s="11"/>
      <c r="AM20" s="11"/>
      <c r="AN20" s="45"/>
      <c r="AO20" s="44"/>
      <c r="AP20" s="11"/>
      <c r="AQ20" s="11"/>
      <c r="AR20" s="45"/>
      <c r="AS20" s="44"/>
      <c r="AT20" s="11"/>
      <c r="AU20" s="11"/>
      <c r="AV20" s="45"/>
      <c r="AW20" s="46"/>
      <c r="AX20" s="11">
        <f>AH20+AL20+AP20+AT20</f>
        <v>0</v>
      </c>
      <c r="AY20" s="11"/>
      <c r="AZ20" s="45"/>
    </row>
    <row r="21" spans="1:52" ht="33.75" customHeight="1" x14ac:dyDescent="0.25">
      <c r="A21" s="21" t="s">
        <v>100</v>
      </c>
      <c r="B21" s="69" t="s">
        <v>136</v>
      </c>
      <c r="C21" s="64">
        <v>2.3199999999999998</v>
      </c>
      <c r="D21" s="27">
        <v>21</v>
      </c>
      <c r="E21" s="72" t="s">
        <v>137</v>
      </c>
      <c r="F21" s="1" t="s">
        <v>419</v>
      </c>
      <c r="G21" s="23" t="s">
        <v>98</v>
      </c>
      <c r="H21" s="2" t="s">
        <v>115</v>
      </c>
      <c r="I21" s="2"/>
      <c r="J21" s="2"/>
      <c r="K21" s="2" t="s">
        <v>63</v>
      </c>
      <c r="L21" s="2" t="s">
        <v>63</v>
      </c>
      <c r="M21" s="2" t="s">
        <v>63</v>
      </c>
      <c r="N21" s="2" t="s">
        <v>64</v>
      </c>
      <c r="O21" s="3"/>
      <c r="P21" s="3" t="s">
        <v>151</v>
      </c>
      <c r="Q21" s="31" t="s">
        <v>74</v>
      </c>
      <c r="R21" s="2" t="s">
        <v>128</v>
      </c>
      <c r="S21" s="2" t="s">
        <v>85</v>
      </c>
      <c r="T21" s="29">
        <v>4</v>
      </c>
      <c r="U21" s="16" t="s">
        <v>67</v>
      </c>
      <c r="V21" s="17" t="s">
        <v>67</v>
      </c>
      <c r="W21" s="17" t="s">
        <v>67</v>
      </c>
      <c r="X21" s="15" t="s">
        <v>67</v>
      </c>
      <c r="Y21" s="15" t="s">
        <v>67</v>
      </c>
      <c r="Z21" s="15">
        <v>2</v>
      </c>
      <c r="AA21" s="15">
        <v>2</v>
      </c>
      <c r="AB21" s="15"/>
      <c r="AC21" s="15"/>
      <c r="AD21" s="15"/>
      <c r="AE21" s="15"/>
      <c r="AF21" s="18"/>
      <c r="AG21" s="44"/>
      <c r="AH21" s="11"/>
      <c r="AI21" s="11"/>
      <c r="AJ21" s="45"/>
      <c r="AK21" s="44"/>
      <c r="AL21" s="11"/>
      <c r="AM21" s="11"/>
      <c r="AN21" s="45"/>
      <c r="AO21" s="44"/>
      <c r="AP21" s="11"/>
      <c r="AQ21" s="11"/>
      <c r="AR21" s="45"/>
      <c r="AS21" s="44"/>
      <c r="AT21" s="11"/>
      <c r="AU21" s="11"/>
      <c r="AV21" s="45"/>
      <c r="AW21" s="46"/>
      <c r="AX21" s="11"/>
      <c r="AY21" s="11"/>
      <c r="AZ21" s="45"/>
    </row>
    <row r="22" spans="1:52" ht="36.75" customHeight="1" x14ac:dyDescent="0.25">
      <c r="A22" s="21" t="s">
        <v>100</v>
      </c>
      <c r="B22" s="69" t="s">
        <v>136</v>
      </c>
      <c r="C22" s="64">
        <v>2.3199999999999998</v>
      </c>
      <c r="D22" s="3">
        <v>27</v>
      </c>
      <c r="E22" s="61" t="s">
        <v>152</v>
      </c>
      <c r="F22" s="1" t="s">
        <v>153</v>
      </c>
      <c r="G22" s="23" t="s">
        <v>98</v>
      </c>
      <c r="H22" s="2" t="s">
        <v>115</v>
      </c>
      <c r="I22" s="2" t="s">
        <v>154</v>
      </c>
      <c r="J22" s="2"/>
      <c r="K22" s="2" t="s">
        <v>63</v>
      </c>
      <c r="L22" s="2" t="s">
        <v>1</v>
      </c>
      <c r="M22" s="2" t="s">
        <v>1</v>
      </c>
      <c r="N22" s="2" t="s">
        <v>67</v>
      </c>
      <c r="O22" s="3"/>
      <c r="P22" s="3" t="s">
        <v>73</v>
      </c>
      <c r="Q22" s="31" t="s">
        <v>74</v>
      </c>
      <c r="R22" s="2"/>
      <c r="S22" s="2"/>
      <c r="T22" s="29">
        <v>4</v>
      </c>
      <c r="U22" s="16" t="s">
        <v>67</v>
      </c>
      <c r="V22" s="17" t="s">
        <v>67</v>
      </c>
      <c r="W22" s="17" t="s">
        <v>67</v>
      </c>
      <c r="X22" s="15" t="s">
        <v>67</v>
      </c>
      <c r="Y22" s="15" t="s">
        <v>67</v>
      </c>
      <c r="Z22" s="15">
        <v>2</v>
      </c>
      <c r="AA22" s="15">
        <v>2</v>
      </c>
      <c r="AB22" s="15"/>
      <c r="AC22" s="15"/>
      <c r="AD22" s="15"/>
      <c r="AE22" s="15"/>
      <c r="AF22" s="18"/>
      <c r="AG22" s="44"/>
      <c r="AH22" s="11"/>
      <c r="AI22" s="11"/>
      <c r="AJ22" s="45"/>
      <c r="AK22" s="44"/>
      <c r="AL22" s="11"/>
      <c r="AM22" s="11"/>
      <c r="AN22" s="45"/>
      <c r="AO22" s="44"/>
      <c r="AP22" s="11"/>
      <c r="AQ22" s="11"/>
      <c r="AR22" s="45"/>
      <c r="AS22" s="46"/>
      <c r="AT22" s="11"/>
      <c r="AU22" s="11"/>
      <c r="AV22" s="45"/>
      <c r="AW22" s="46"/>
      <c r="AX22" s="11"/>
      <c r="AY22" s="11"/>
      <c r="AZ22" s="45"/>
    </row>
    <row r="23" spans="1:52" ht="27" hidden="1" x14ac:dyDescent="0.25">
      <c r="A23" s="21" t="s">
        <v>100</v>
      </c>
      <c r="B23" s="69" t="s">
        <v>136</v>
      </c>
      <c r="C23" s="64">
        <v>2.3199999999999998</v>
      </c>
      <c r="D23" s="27">
        <v>18</v>
      </c>
      <c r="E23" s="72" t="s">
        <v>137</v>
      </c>
      <c r="F23" s="39" t="s">
        <v>158</v>
      </c>
      <c r="G23" s="23" t="s">
        <v>109</v>
      </c>
      <c r="H23" s="2" t="s">
        <v>60</v>
      </c>
      <c r="I23" s="2" t="s">
        <v>70</v>
      </c>
      <c r="J23" s="3"/>
      <c r="K23" s="2" t="s">
        <v>63</v>
      </c>
      <c r="L23" s="2" t="s">
        <v>63</v>
      </c>
      <c r="M23" s="2" t="s">
        <v>63</v>
      </c>
      <c r="N23" s="2" t="s">
        <v>64</v>
      </c>
      <c r="O23" s="3"/>
      <c r="P23" s="2" t="s">
        <v>41</v>
      </c>
      <c r="Q23" s="31" t="s">
        <v>64</v>
      </c>
      <c r="R23" s="2" t="s">
        <v>94</v>
      </c>
      <c r="S23" s="2" t="s">
        <v>66</v>
      </c>
      <c r="T23" s="29"/>
      <c r="U23" s="16" t="s">
        <v>67</v>
      </c>
      <c r="V23" s="17" t="s">
        <v>67</v>
      </c>
      <c r="W23" s="17" t="s">
        <v>67</v>
      </c>
      <c r="X23" s="15" t="s">
        <v>67</v>
      </c>
      <c r="Y23" s="15" t="s">
        <v>67</v>
      </c>
      <c r="Z23" s="15">
        <v>4</v>
      </c>
      <c r="AA23" s="17" t="s">
        <v>67</v>
      </c>
      <c r="AB23" s="17" t="s">
        <v>67</v>
      </c>
      <c r="AC23" s="17" t="s">
        <v>67</v>
      </c>
      <c r="AD23" s="17" t="s">
        <v>67</v>
      </c>
      <c r="AE23" s="17" t="s">
        <v>67</v>
      </c>
      <c r="AF23" s="17" t="s">
        <v>67</v>
      </c>
      <c r="AG23" s="44">
        <v>0</v>
      </c>
      <c r="AH23" s="11">
        <v>0</v>
      </c>
      <c r="AI23" s="11"/>
      <c r="AJ23" s="45"/>
      <c r="AK23" s="44" t="s">
        <v>159</v>
      </c>
      <c r="AL23" s="11"/>
      <c r="AM23" s="11"/>
      <c r="AN23" s="45"/>
      <c r="AO23" s="44" t="s">
        <v>160</v>
      </c>
      <c r="AP23" s="11"/>
      <c r="AQ23" s="11"/>
      <c r="AR23" s="45"/>
      <c r="AS23" s="46" t="s">
        <v>160</v>
      </c>
      <c r="AT23" s="11"/>
      <c r="AU23" s="11"/>
      <c r="AV23" s="45"/>
      <c r="AW23" s="46" t="s">
        <v>161</v>
      </c>
      <c r="AX23" s="11"/>
      <c r="AY23" s="11"/>
      <c r="AZ23" s="45"/>
    </row>
    <row r="24" spans="1:52" ht="27" x14ac:dyDescent="0.25">
      <c r="A24" s="21" t="s">
        <v>100</v>
      </c>
      <c r="B24" s="69" t="s">
        <v>136</v>
      </c>
      <c r="C24" s="64">
        <v>2.3199999999999998</v>
      </c>
      <c r="D24" s="3">
        <v>38</v>
      </c>
      <c r="E24" s="61" t="s">
        <v>155</v>
      </c>
      <c r="F24" s="50" t="s">
        <v>156</v>
      </c>
      <c r="G24" s="23" t="s">
        <v>98</v>
      </c>
      <c r="H24" s="2" t="s">
        <v>115</v>
      </c>
      <c r="I24" s="2" t="s">
        <v>154</v>
      </c>
      <c r="J24" s="2"/>
      <c r="K24" s="2" t="s">
        <v>63</v>
      </c>
      <c r="L24" s="2" t="s">
        <v>63</v>
      </c>
      <c r="M24" s="2" t="s">
        <v>63</v>
      </c>
      <c r="N24" s="2" t="s">
        <v>64</v>
      </c>
      <c r="O24" s="3"/>
      <c r="P24" s="3" t="s">
        <v>157</v>
      </c>
      <c r="Q24" s="31" t="s">
        <v>74</v>
      </c>
      <c r="R24" s="2" t="s">
        <v>128</v>
      </c>
      <c r="S24" s="2" t="s">
        <v>85</v>
      </c>
      <c r="T24" s="29">
        <v>4</v>
      </c>
      <c r="U24" s="16" t="s">
        <v>67</v>
      </c>
      <c r="V24" s="17" t="s">
        <v>67</v>
      </c>
      <c r="W24" s="17" t="s">
        <v>67</v>
      </c>
      <c r="X24" s="15" t="s">
        <v>67</v>
      </c>
      <c r="Y24" s="15" t="s">
        <v>67</v>
      </c>
      <c r="Z24" s="15">
        <v>2</v>
      </c>
      <c r="AA24" s="15">
        <v>2</v>
      </c>
      <c r="AB24" s="15"/>
      <c r="AC24" s="15"/>
      <c r="AD24" s="15"/>
      <c r="AE24" s="15"/>
      <c r="AF24" s="18"/>
      <c r="AG24" s="44"/>
      <c r="AH24" s="11"/>
      <c r="AI24" s="11"/>
      <c r="AJ24" s="45"/>
      <c r="AK24" s="44"/>
      <c r="AL24" s="11"/>
      <c r="AM24" s="11"/>
      <c r="AN24" s="45"/>
      <c r="AO24" s="44"/>
      <c r="AP24" s="11"/>
      <c r="AQ24" s="11"/>
      <c r="AR24" s="45"/>
      <c r="AS24" s="46"/>
      <c r="AT24" s="11"/>
      <c r="AU24" s="11"/>
      <c r="AV24" s="45"/>
      <c r="AW24" s="46"/>
      <c r="AX24" s="11">
        <f>AH24+AL24+AP24+AT24</f>
        <v>0</v>
      </c>
      <c r="AY24" s="11"/>
      <c r="AZ24" s="45"/>
    </row>
    <row r="25" spans="1:52" ht="27" hidden="1" x14ac:dyDescent="0.25">
      <c r="A25" s="21" t="s">
        <v>100</v>
      </c>
      <c r="B25" s="69" t="s">
        <v>136</v>
      </c>
      <c r="C25" s="64">
        <v>2.3199999999999998</v>
      </c>
      <c r="D25" s="27">
        <v>23</v>
      </c>
      <c r="E25" s="72" t="s">
        <v>137</v>
      </c>
      <c r="F25" s="1" t="s">
        <v>162</v>
      </c>
      <c r="G25" s="23" t="s">
        <v>98</v>
      </c>
      <c r="H25" s="2" t="s">
        <v>115</v>
      </c>
      <c r="I25" s="2"/>
      <c r="J25" s="2"/>
      <c r="K25" s="2" t="s">
        <v>63</v>
      </c>
      <c r="L25" s="2" t="s">
        <v>63</v>
      </c>
      <c r="M25" s="2" t="s">
        <v>63</v>
      </c>
      <c r="N25" s="2" t="s">
        <v>64</v>
      </c>
      <c r="O25" s="3" t="s">
        <v>163</v>
      </c>
      <c r="P25" s="141" t="s">
        <v>36</v>
      </c>
      <c r="Q25" s="2" t="s">
        <v>64</v>
      </c>
      <c r="R25" s="2" t="s">
        <v>128</v>
      </c>
      <c r="S25" s="2" t="s">
        <v>128</v>
      </c>
      <c r="T25" s="29"/>
      <c r="U25" s="16" t="s">
        <v>67</v>
      </c>
      <c r="V25" s="17" t="s">
        <v>67</v>
      </c>
      <c r="W25" s="17">
        <v>4</v>
      </c>
      <c r="X25" s="17" t="s">
        <v>67</v>
      </c>
      <c r="Y25" s="17" t="s">
        <v>67</v>
      </c>
      <c r="Z25" s="17" t="s">
        <v>67</v>
      </c>
      <c r="AA25" s="17" t="s">
        <v>67</v>
      </c>
      <c r="AB25" s="17" t="s">
        <v>67</v>
      </c>
      <c r="AC25" s="17" t="s">
        <v>67</v>
      </c>
      <c r="AD25" s="17" t="s">
        <v>67</v>
      </c>
      <c r="AE25" s="17" t="s">
        <v>67</v>
      </c>
      <c r="AF25" s="17" t="s">
        <v>67</v>
      </c>
      <c r="AG25" s="44"/>
      <c r="AH25" s="11"/>
      <c r="AI25" s="11"/>
      <c r="AJ25" s="45"/>
      <c r="AK25" s="44"/>
      <c r="AL25" s="11"/>
      <c r="AM25" s="11"/>
      <c r="AN25" s="45"/>
      <c r="AO25" s="44"/>
      <c r="AP25" s="11"/>
      <c r="AQ25" s="11"/>
      <c r="AR25" s="45"/>
      <c r="AS25" s="46"/>
      <c r="AT25" s="11"/>
      <c r="AU25" s="11"/>
      <c r="AV25" s="45"/>
      <c r="AW25" s="46"/>
      <c r="AX25" s="11"/>
      <c r="AY25" s="11"/>
      <c r="AZ25" s="45"/>
    </row>
    <row r="26" spans="1:52" ht="54" hidden="1" x14ac:dyDescent="0.25">
      <c r="A26" s="21" t="s">
        <v>131</v>
      </c>
      <c r="B26" s="69" t="s">
        <v>132</v>
      </c>
      <c r="C26" s="64">
        <v>0</v>
      </c>
      <c r="D26" s="3">
        <v>31</v>
      </c>
      <c r="E26" s="61" t="s">
        <v>164</v>
      </c>
      <c r="F26" s="1" t="s">
        <v>165</v>
      </c>
      <c r="G26" s="23" t="s">
        <v>98</v>
      </c>
      <c r="H26" s="2" t="s">
        <v>115</v>
      </c>
      <c r="I26" s="2"/>
      <c r="J26" s="2"/>
      <c r="K26" s="2" t="s">
        <v>1</v>
      </c>
      <c r="L26" s="2" t="s">
        <v>1</v>
      </c>
      <c r="M26" s="2" t="s">
        <v>1</v>
      </c>
      <c r="N26" s="2" t="s">
        <v>67</v>
      </c>
      <c r="O26" s="3"/>
      <c r="P26" s="120" t="s">
        <v>120</v>
      </c>
      <c r="Q26" s="31" t="s">
        <v>64</v>
      </c>
      <c r="R26" s="2" t="s">
        <v>135</v>
      </c>
      <c r="S26" s="2" t="s">
        <v>85</v>
      </c>
      <c r="T26" s="29"/>
      <c r="U26" s="16" t="s">
        <v>67</v>
      </c>
      <c r="V26" s="17" t="s">
        <v>67</v>
      </c>
      <c r="W26" s="15" t="s">
        <v>67</v>
      </c>
      <c r="X26" s="15">
        <v>1</v>
      </c>
      <c r="Y26" s="15">
        <v>2</v>
      </c>
      <c r="Z26" s="15">
        <v>4</v>
      </c>
      <c r="AA26" s="17" t="s">
        <v>67</v>
      </c>
      <c r="AB26" s="17" t="s">
        <v>67</v>
      </c>
      <c r="AC26" s="17" t="s">
        <v>67</v>
      </c>
      <c r="AD26" s="17" t="s">
        <v>67</v>
      </c>
      <c r="AE26" s="17" t="s">
        <v>67</v>
      </c>
      <c r="AF26" s="17" t="s">
        <v>67</v>
      </c>
      <c r="AG26" s="44"/>
      <c r="AH26" s="11"/>
      <c r="AI26" s="11"/>
      <c r="AJ26" s="45"/>
      <c r="AK26" s="44"/>
      <c r="AL26" s="11"/>
      <c r="AM26" s="11"/>
      <c r="AN26" s="45"/>
      <c r="AO26" s="44"/>
      <c r="AP26" s="11"/>
      <c r="AQ26" s="11"/>
      <c r="AR26" s="45"/>
      <c r="AS26" s="46"/>
      <c r="AT26" s="11"/>
      <c r="AU26" s="11"/>
      <c r="AV26" s="45"/>
      <c r="AW26" s="46"/>
      <c r="AX26" s="11"/>
      <c r="AY26" s="11"/>
      <c r="AZ26" s="45"/>
    </row>
    <row r="27" spans="1:52" ht="27" hidden="1" x14ac:dyDescent="0.25">
      <c r="A27" s="21" t="s">
        <v>100</v>
      </c>
      <c r="B27" s="69" t="s">
        <v>136</v>
      </c>
      <c r="C27" s="64">
        <v>2.3199999999999998</v>
      </c>
      <c r="D27" s="27">
        <v>25</v>
      </c>
      <c r="E27" s="72" t="s">
        <v>166</v>
      </c>
      <c r="F27" s="1" t="s">
        <v>167</v>
      </c>
      <c r="G27" s="23" t="s">
        <v>168</v>
      </c>
      <c r="H27" s="2" t="s">
        <v>115</v>
      </c>
      <c r="I27" s="2"/>
      <c r="J27" s="2"/>
      <c r="K27" s="2" t="s">
        <v>63</v>
      </c>
      <c r="L27" s="2" t="s">
        <v>63</v>
      </c>
      <c r="M27" s="2" t="s">
        <v>63</v>
      </c>
      <c r="N27" s="2" t="s">
        <v>64</v>
      </c>
      <c r="O27" s="3"/>
      <c r="P27" s="23" t="s">
        <v>39</v>
      </c>
      <c r="Q27" s="31" t="s">
        <v>64</v>
      </c>
      <c r="R27" s="2" t="s">
        <v>128</v>
      </c>
      <c r="S27" s="2" t="s">
        <v>85</v>
      </c>
      <c r="T27" s="29"/>
      <c r="U27" s="16" t="s">
        <v>67</v>
      </c>
      <c r="V27" s="17" t="s">
        <v>67</v>
      </c>
      <c r="W27" s="17" t="s">
        <v>67</v>
      </c>
      <c r="X27" s="15">
        <v>4</v>
      </c>
      <c r="Y27" s="17" t="s">
        <v>67</v>
      </c>
      <c r="Z27" s="17" t="s">
        <v>67</v>
      </c>
      <c r="AA27" s="17" t="s">
        <v>67</v>
      </c>
      <c r="AB27" s="17" t="s">
        <v>67</v>
      </c>
      <c r="AC27" s="17" t="s">
        <v>67</v>
      </c>
      <c r="AD27" s="17" t="s">
        <v>67</v>
      </c>
      <c r="AE27" s="17" t="s">
        <v>67</v>
      </c>
      <c r="AF27" s="17" t="s">
        <v>67</v>
      </c>
      <c r="AG27" s="44"/>
      <c r="AH27" s="11"/>
      <c r="AI27" s="11"/>
      <c r="AJ27" s="45"/>
      <c r="AK27" s="44"/>
      <c r="AL27" s="11"/>
      <c r="AM27" s="11"/>
      <c r="AN27" s="45"/>
      <c r="AO27" s="44"/>
      <c r="AP27" s="11"/>
      <c r="AQ27" s="11"/>
      <c r="AR27" s="45"/>
      <c r="AS27" s="46"/>
      <c r="AT27" s="11"/>
      <c r="AU27" s="11"/>
      <c r="AV27" s="45"/>
      <c r="AW27" s="46"/>
      <c r="AX27" s="11"/>
      <c r="AY27" s="11"/>
      <c r="AZ27" s="45"/>
    </row>
    <row r="28" spans="1:52" ht="45" customHeight="1" x14ac:dyDescent="0.25">
      <c r="A28" s="21" t="s">
        <v>100</v>
      </c>
      <c r="B28" s="69" t="s">
        <v>136</v>
      </c>
      <c r="C28" s="64">
        <v>2.3199999999999998</v>
      </c>
      <c r="D28" s="3">
        <v>22</v>
      </c>
      <c r="E28" s="73" t="s">
        <v>137</v>
      </c>
      <c r="F28" s="1" t="s">
        <v>421</v>
      </c>
      <c r="G28" s="23" t="s">
        <v>98</v>
      </c>
      <c r="H28" s="2" t="s">
        <v>115</v>
      </c>
      <c r="I28" s="2"/>
      <c r="J28" s="2"/>
      <c r="K28" s="2" t="s">
        <v>63</v>
      </c>
      <c r="L28" s="2" t="s">
        <v>63</v>
      </c>
      <c r="M28" s="2" t="s">
        <v>63</v>
      </c>
      <c r="N28" s="2" t="s">
        <v>64</v>
      </c>
      <c r="O28" s="3"/>
      <c r="P28" s="2" t="s">
        <v>42</v>
      </c>
      <c r="Q28" s="31" t="s">
        <v>74</v>
      </c>
      <c r="R28" s="2" t="s">
        <v>128</v>
      </c>
      <c r="S28" s="2" t="s">
        <v>85</v>
      </c>
      <c r="T28" s="29">
        <v>4</v>
      </c>
      <c r="U28" s="16" t="s">
        <v>67</v>
      </c>
      <c r="V28" s="17" t="s">
        <v>67</v>
      </c>
      <c r="W28" s="17" t="s">
        <v>67</v>
      </c>
      <c r="X28" s="15" t="s">
        <v>67</v>
      </c>
      <c r="Y28" s="15" t="s">
        <v>67</v>
      </c>
      <c r="Z28" s="15" t="s">
        <v>67</v>
      </c>
      <c r="AA28" s="15">
        <v>2</v>
      </c>
      <c r="AB28" s="15"/>
      <c r="AC28" s="15"/>
      <c r="AD28" s="15"/>
      <c r="AE28" s="15"/>
      <c r="AF28" s="18"/>
      <c r="AG28" s="44"/>
      <c r="AH28" s="11"/>
      <c r="AI28" s="11"/>
      <c r="AJ28" s="45"/>
      <c r="AK28" s="44"/>
      <c r="AL28" s="11"/>
      <c r="AM28" s="11"/>
      <c r="AN28" s="45"/>
      <c r="AO28" s="44"/>
      <c r="AP28" s="11"/>
      <c r="AQ28" s="11"/>
      <c r="AR28" s="45"/>
      <c r="AS28" s="46"/>
      <c r="AT28" s="11"/>
      <c r="AU28" s="11"/>
      <c r="AV28" s="45"/>
      <c r="AW28" s="46"/>
      <c r="AX28" s="41"/>
      <c r="AY28" s="11"/>
      <c r="AZ28" s="45"/>
    </row>
    <row r="29" spans="1:52" ht="35.25" hidden="1" customHeight="1" x14ac:dyDescent="0.25">
      <c r="A29" s="21" t="s">
        <v>100</v>
      </c>
      <c r="B29" s="69" t="s">
        <v>136</v>
      </c>
      <c r="C29" s="64">
        <v>2.3199999999999998</v>
      </c>
      <c r="D29" s="27">
        <v>19</v>
      </c>
      <c r="E29" s="73" t="s">
        <v>137</v>
      </c>
      <c r="F29" s="39" t="s">
        <v>172</v>
      </c>
      <c r="G29" s="23" t="s">
        <v>109</v>
      </c>
      <c r="H29" s="2" t="s">
        <v>60</v>
      </c>
      <c r="I29" s="2" t="s">
        <v>70</v>
      </c>
      <c r="J29" s="3"/>
      <c r="K29" s="2" t="s">
        <v>63</v>
      </c>
      <c r="L29" s="2" t="s">
        <v>1</v>
      </c>
      <c r="M29" s="2" t="s">
        <v>63</v>
      </c>
      <c r="N29" s="2" t="s">
        <v>64</v>
      </c>
      <c r="O29" s="3"/>
      <c r="P29" s="3" t="s">
        <v>151</v>
      </c>
      <c r="Q29" s="31" t="s">
        <v>74</v>
      </c>
      <c r="R29" s="2" t="s">
        <v>94</v>
      </c>
      <c r="S29" s="2" t="s">
        <v>66</v>
      </c>
      <c r="T29" s="29"/>
      <c r="U29" s="16" t="s">
        <v>67</v>
      </c>
      <c r="V29" s="17" t="s">
        <v>67</v>
      </c>
      <c r="W29" s="17" t="s">
        <v>67</v>
      </c>
      <c r="X29" s="15" t="s">
        <v>67</v>
      </c>
      <c r="Y29" s="15" t="s">
        <v>67</v>
      </c>
      <c r="Z29" s="15">
        <v>2</v>
      </c>
      <c r="AA29" s="15">
        <v>2</v>
      </c>
      <c r="AB29" s="15"/>
      <c r="AC29" s="15"/>
      <c r="AD29" s="15"/>
      <c r="AE29" s="15"/>
      <c r="AF29" s="18"/>
      <c r="AG29" s="44">
        <v>0</v>
      </c>
      <c r="AH29" s="11">
        <v>0</v>
      </c>
      <c r="AI29" s="11"/>
      <c r="AJ29" s="45"/>
      <c r="AK29" s="44" t="s">
        <v>173</v>
      </c>
      <c r="AL29" s="11"/>
      <c r="AM29" s="11"/>
      <c r="AN29" s="45"/>
      <c r="AO29" s="44" t="s">
        <v>174</v>
      </c>
      <c r="AP29" s="11"/>
      <c r="AQ29" s="11"/>
      <c r="AR29" s="45"/>
      <c r="AS29" s="46" t="s">
        <v>174</v>
      </c>
      <c r="AT29" s="11"/>
      <c r="AU29" s="11"/>
      <c r="AV29" s="45"/>
      <c r="AW29" s="46" t="s">
        <v>175</v>
      </c>
      <c r="AX29" s="11"/>
      <c r="AY29" s="11"/>
      <c r="AZ29" s="45"/>
    </row>
    <row r="30" spans="1:52" ht="121.5" x14ac:dyDescent="0.25">
      <c r="A30" s="21" t="s">
        <v>169</v>
      </c>
      <c r="B30" s="127" t="s">
        <v>170</v>
      </c>
      <c r="C30" s="128"/>
      <c r="D30" s="3">
        <v>54</v>
      </c>
      <c r="E30" s="1" t="s">
        <v>171</v>
      </c>
      <c r="F30" s="1" t="s">
        <v>422</v>
      </c>
      <c r="G30" s="23" t="s">
        <v>98</v>
      </c>
      <c r="H30" s="2" t="s">
        <v>115</v>
      </c>
      <c r="I30" s="2"/>
      <c r="J30" s="2"/>
      <c r="K30" s="2" t="s">
        <v>1</v>
      </c>
      <c r="L30" s="2" t="s">
        <v>63</v>
      </c>
      <c r="M30" s="2" t="s">
        <v>1</v>
      </c>
      <c r="N30" s="2" t="s">
        <v>67</v>
      </c>
      <c r="O30" s="3"/>
      <c r="P30" s="3" t="s">
        <v>116</v>
      </c>
      <c r="Q30" s="31" t="s">
        <v>93</v>
      </c>
      <c r="R30" s="2"/>
      <c r="S30" s="2"/>
      <c r="T30" s="29">
        <v>4</v>
      </c>
      <c r="U30" s="16" t="s">
        <v>67</v>
      </c>
      <c r="V30" s="17" t="s">
        <v>67</v>
      </c>
      <c r="W30" s="17" t="s">
        <v>67</v>
      </c>
      <c r="X30" s="15">
        <v>1</v>
      </c>
      <c r="Y30" s="15">
        <v>1</v>
      </c>
      <c r="Z30" s="15">
        <v>2</v>
      </c>
      <c r="AA30" s="15">
        <v>2</v>
      </c>
      <c r="AB30" s="15"/>
      <c r="AC30" s="15"/>
      <c r="AD30" s="15"/>
      <c r="AE30" s="15"/>
      <c r="AF30" s="18"/>
      <c r="AG30" s="44"/>
      <c r="AH30" s="11"/>
      <c r="AI30" s="11"/>
      <c r="AJ30" s="45"/>
      <c r="AK30" s="44"/>
      <c r="AL30" s="11"/>
      <c r="AM30" s="11"/>
      <c r="AN30" s="45"/>
      <c r="AO30" s="44"/>
      <c r="AP30" s="11"/>
      <c r="AQ30" s="11"/>
      <c r="AR30" s="45"/>
      <c r="AS30" s="46"/>
      <c r="AT30" s="11"/>
      <c r="AU30" s="11"/>
      <c r="AV30" s="45"/>
      <c r="AW30" s="46"/>
      <c r="AX30" s="11"/>
      <c r="AY30" s="11"/>
      <c r="AZ30" s="45"/>
    </row>
    <row r="31" spans="1:52" ht="40.5" hidden="1" x14ac:dyDescent="0.25">
      <c r="A31" s="21" t="s">
        <v>100</v>
      </c>
      <c r="B31" s="69" t="s">
        <v>136</v>
      </c>
      <c r="C31" s="64">
        <v>2.3199999999999998</v>
      </c>
      <c r="D31" s="27">
        <v>29</v>
      </c>
      <c r="E31" s="1" t="s">
        <v>179</v>
      </c>
      <c r="F31" s="1" t="s">
        <v>180</v>
      </c>
      <c r="G31" s="23" t="s">
        <v>114</v>
      </c>
      <c r="H31" s="2" t="s">
        <v>115</v>
      </c>
      <c r="I31" s="2" t="s">
        <v>181</v>
      </c>
      <c r="J31" s="2"/>
      <c r="K31" s="2" t="s">
        <v>63</v>
      </c>
      <c r="L31" s="2" t="s">
        <v>1</v>
      </c>
      <c r="M31" s="2" t="s">
        <v>1</v>
      </c>
      <c r="N31" s="2" t="s">
        <v>67</v>
      </c>
      <c r="O31" s="3"/>
      <c r="P31" s="2" t="s">
        <v>41</v>
      </c>
      <c r="Q31" s="31" t="s">
        <v>64</v>
      </c>
      <c r="R31" s="2"/>
      <c r="S31" s="2"/>
      <c r="T31" s="29"/>
      <c r="U31" s="16" t="s">
        <v>67</v>
      </c>
      <c r="V31" s="17" t="s">
        <v>67</v>
      </c>
      <c r="W31" s="17" t="s">
        <v>67</v>
      </c>
      <c r="X31" s="15" t="s">
        <v>67</v>
      </c>
      <c r="Y31" s="15" t="s">
        <v>67</v>
      </c>
      <c r="Z31" s="15">
        <v>4</v>
      </c>
      <c r="AA31" s="17" t="s">
        <v>67</v>
      </c>
      <c r="AB31" s="17" t="s">
        <v>67</v>
      </c>
      <c r="AC31" s="17" t="s">
        <v>67</v>
      </c>
      <c r="AD31" s="17" t="s">
        <v>67</v>
      </c>
      <c r="AE31" s="17" t="s">
        <v>67</v>
      </c>
      <c r="AF31" s="17" t="s">
        <v>67</v>
      </c>
      <c r="AG31" s="44"/>
      <c r="AH31" s="11"/>
      <c r="AI31" s="11"/>
      <c r="AJ31" s="45"/>
      <c r="AK31" s="44"/>
      <c r="AL31" s="11"/>
      <c r="AM31" s="11"/>
      <c r="AN31" s="45"/>
      <c r="AO31" s="44"/>
      <c r="AP31" s="11"/>
      <c r="AQ31" s="11"/>
      <c r="AR31" s="45"/>
      <c r="AS31" s="46"/>
      <c r="AT31" s="11"/>
      <c r="AU31" s="11"/>
      <c r="AV31" s="45"/>
      <c r="AW31" s="46"/>
      <c r="AX31" s="11"/>
      <c r="AY31" s="11"/>
      <c r="AZ31" s="45"/>
    </row>
    <row r="32" spans="1:52" ht="54" hidden="1" x14ac:dyDescent="0.25">
      <c r="A32" s="118" t="s">
        <v>182</v>
      </c>
      <c r="B32" s="71" t="s">
        <v>183</v>
      </c>
      <c r="C32" s="66">
        <v>0.1</v>
      </c>
      <c r="D32" s="3">
        <v>30</v>
      </c>
      <c r="E32" s="1" t="s">
        <v>184</v>
      </c>
      <c r="F32" s="1" t="s">
        <v>185</v>
      </c>
      <c r="G32" s="23" t="s">
        <v>186</v>
      </c>
      <c r="H32" s="2" t="s">
        <v>187</v>
      </c>
      <c r="I32" s="2"/>
      <c r="J32" s="2"/>
      <c r="K32" s="2" t="s">
        <v>1</v>
      </c>
      <c r="L32" s="2" t="s">
        <v>1</v>
      </c>
      <c r="M32" s="2" t="s">
        <v>63</v>
      </c>
      <c r="N32" s="2" t="s">
        <v>64</v>
      </c>
      <c r="O32" s="3"/>
      <c r="P32" s="2" t="s">
        <v>45</v>
      </c>
      <c r="Q32" s="31" t="s">
        <v>126</v>
      </c>
      <c r="R32" s="2" t="s">
        <v>188</v>
      </c>
      <c r="S32" s="2" t="s">
        <v>188</v>
      </c>
      <c r="T32" s="29"/>
      <c r="U32" s="16" t="s">
        <v>67</v>
      </c>
      <c r="V32" s="17" t="s">
        <v>67</v>
      </c>
      <c r="W32" s="17" t="s">
        <v>67</v>
      </c>
      <c r="X32" s="15" t="s">
        <v>67</v>
      </c>
      <c r="Y32" s="15" t="s">
        <v>67</v>
      </c>
      <c r="Z32" s="15" t="s">
        <v>67</v>
      </c>
      <c r="AA32" s="15" t="s">
        <v>67</v>
      </c>
      <c r="AB32" s="15"/>
      <c r="AC32" s="15"/>
      <c r="AD32" s="15"/>
      <c r="AE32" s="15"/>
      <c r="AF32" s="18"/>
      <c r="AG32" s="44"/>
      <c r="AH32" s="11"/>
      <c r="AI32" s="11"/>
      <c r="AJ32" s="45"/>
      <c r="AK32" s="44"/>
      <c r="AL32" s="11"/>
      <c r="AM32" s="11"/>
      <c r="AN32" s="45"/>
      <c r="AO32" s="44"/>
      <c r="AP32" s="11"/>
      <c r="AQ32" s="11"/>
      <c r="AR32" s="45"/>
      <c r="AS32" s="46"/>
      <c r="AT32" s="11"/>
      <c r="AU32" s="11"/>
      <c r="AV32" s="45"/>
      <c r="AW32" s="46"/>
      <c r="AX32" s="11"/>
      <c r="AY32" s="11"/>
      <c r="AZ32" s="45"/>
    </row>
    <row r="33" spans="1:52" ht="86.25" customHeight="1" x14ac:dyDescent="0.25">
      <c r="A33" s="21" t="s">
        <v>100</v>
      </c>
      <c r="B33" s="71" t="s">
        <v>136</v>
      </c>
      <c r="C33" s="10">
        <v>2.3199999999999998</v>
      </c>
      <c r="D33" s="27">
        <v>37</v>
      </c>
      <c r="E33" s="73" t="s">
        <v>166</v>
      </c>
      <c r="F33" s="1" t="s">
        <v>189</v>
      </c>
      <c r="G33" s="23" t="s">
        <v>98</v>
      </c>
      <c r="H33" s="2" t="s">
        <v>115</v>
      </c>
      <c r="I33" s="2"/>
      <c r="J33" s="2"/>
      <c r="K33" s="2" t="s">
        <v>63</v>
      </c>
      <c r="L33" s="2" t="s">
        <v>1</v>
      </c>
      <c r="M33" s="2" t="s">
        <v>1</v>
      </c>
      <c r="N33" s="2" t="s">
        <v>67</v>
      </c>
      <c r="O33" s="3"/>
      <c r="P33" s="120" t="s">
        <v>388</v>
      </c>
      <c r="Q33" s="31" t="s">
        <v>93</v>
      </c>
      <c r="R33" s="2" t="s">
        <v>98</v>
      </c>
      <c r="S33" s="2" t="s">
        <v>128</v>
      </c>
      <c r="T33" s="29">
        <v>5</v>
      </c>
      <c r="U33" s="16" t="s">
        <v>67</v>
      </c>
      <c r="V33" s="17" t="s">
        <v>67</v>
      </c>
      <c r="W33" s="17">
        <v>2</v>
      </c>
      <c r="X33" s="15">
        <v>2</v>
      </c>
      <c r="Y33" s="15">
        <v>2</v>
      </c>
      <c r="Z33" s="15">
        <v>2</v>
      </c>
      <c r="AA33" s="15">
        <v>2</v>
      </c>
      <c r="AB33" s="15"/>
      <c r="AC33" s="15"/>
      <c r="AD33" s="15"/>
      <c r="AE33" s="15"/>
      <c r="AF33" s="18"/>
      <c r="AG33" s="44"/>
      <c r="AH33" s="11"/>
      <c r="AI33" s="11"/>
      <c r="AJ33" s="45"/>
      <c r="AK33" s="44"/>
      <c r="AL33" s="11"/>
      <c r="AM33" s="11"/>
      <c r="AN33" s="45"/>
      <c r="AO33" s="44"/>
      <c r="AP33" s="11"/>
      <c r="AQ33" s="11"/>
      <c r="AR33" s="45"/>
      <c r="AS33" s="46"/>
      <c r="AT33" s="11"/>
      <c r="AU33" s="11"/>
      <c r="AV33" s="45"/>
      <c r="AW33" s="46"/>
      <c r="AX33" s="11"/>
      <c r="AY33" s="11"/>
      <c r="AZ33" s="45"/>
    </row>
    <row r="34" spans="1:52" ht="40.5" hidden="1" x14ac:dyDescent="0.25">
      <c r="A34" s="21" t="s">
        <v>100</v>
      </c>
      <c r="B34" s="71" t="s">
        <v>136</v>
      </c>
      <c r="C34" s="10">
        <v>2.3199999999999998</v>
      </c>
      <c r="D34" s="3">
        <v>32</v>
      </c>
      <c r="E34" s="73" t="s">
        <v>190</v>
      </c>
      <c r="F34" s="39" t="s">
        <v>191</v>
      </c>
      <c r="G34" s="23" t="s">
        <v>98</v>
      </c>
      <c r="H34" s="2" t="s">
        <v>115</v>
      </c>
      <c r="I34" s="2" t="s">
        <v>89</v>
      </c>
      <c r="J34" s="2"/>
      <c r="K34" s="2" t="s">
        <v>63</v>
      </c>
      <c r="L34" s="2" t="s">
        <v>63</v>
      </c>
      <c r="M34" s="2" t="s">
        <v>1</v>
      </c>
      <c r="N34" s="2" t="s">
        <v>67</v>
      </c>
      <c r="O34" s="3" t="s">
        <v>192</v>
      </c>
      <c r="P34" s="125" t="s">
        <v>38</v>
      </c>
      <c r="Q34" s="31" t="s">
        <v>64</v>
      </c>
      <c r="R34" s="2" t="s">
        <v>128</v>
      </c>
      <c r="S34" s="2" t="s">
        <v>128</v>
      </c>
      <c r="T34" s="29"/>
      <c r="U34" s="16" t="s">
        <v>67</v>
      </c>
      <c r="V34" s="17" t="s">
        <v>67</v>
      </c>
      <c r="W34" s="17" t="s">
        <v>67</v>
      </c>
      <c r="X34" s="15">
        <v>4</v>
      </c>
      <c r="Y34" s="17" t="s">
        <v>67</v>
      </c>
      <c r="Z34" s="17" t="s">
        <v>67</v>
      </c>
      <c r="AA34" s="17" t="s">
        <v>67</v>
      </c>
      <c r="AB34" s="17" t="s">
        <v>67</v>
      </c>
      <c r="AC34" s="17" t="s">
        <v>67</v>
      </c>
      <c r="AD34" s="17" t="s">
        <v>67</v>
      </c>
      <c r="AE34" s="17" t="s">
        <v>67</v>
      </c>
      <c r="AF34" s="17" t="s">
        <v>67</v>
      </c>
      <c r="AG34" s="44"/>
      <c r="AH34" s="11"/>
      <c r="AI34" s="11"/>
      <c r="AJ34" s="45"/>
      <c r="AK34" s="44"/>
      <c r="AL34" s="11"/>
      <c r="AM34" s="11"/>
      <c r="AN34" s="45"/>
      <c r="AO34" s="44"/>
      <c r="AP34" s="11"/>
      <c r="AQ34" s="11"/>
      <c r="AR34" s="45"/>
      <c r="AS34" s="46"/>
      <c r="AT34" s="11"/>
      <c r="AU34" s="11"/>
      <c r="AV34" s="45"/>
      <c r="AW34" s="46"/>
      <c r="AX34" s="11"/>
      <c r="AY34" s="11"/>
      <c r="AZ34" s="45"/>
    </row>
    <row r="35" spans="1:52" ht="27" hidden="1" x14ac:dyDescent="0.25">
      <c r="A35" s="21" t="s">
        <v>100</v>
      </c>
      <c r="B35" s="71" t="s">
        <v>136</v>
      </c>
      <c r="C35" s="10">
        <v>2.3199999999999998</v>
      </c>
      <c r="D35" s="27">
        <v>33</v>
      </c>
      <c r="E35" s="73" t="s">
        <v>190</v>
      </c>
      <c r="F35" s="39" t="s">
        <v>193</v>
      </c>
      <c r="G35" s="23" t="s">
        <v>98</v>
      </c>
      <c r="H35" s="2" t="s">
        <v>115</v>
      </c>
      <c r="I35" s="2"/>
      <c r="J35" s="2"/>
      <c r="K35" s="2" t="s">
        <v>63</v>
      </c>
      <c r="L35" s="2" t="s">
        <v>63</v>
      </c>
      <c r="M35" s="2" t="s">
        <v>1</v>
      </c>
      <c r="N35" s="2" t="s">
        <v>67</v>
      </c>
      <c r="O35" s="3"/>
      <c r="P35" s="120" t="s">
        <v>38</v>
      </c>
      <c r="Q35" s="31" t="s">
        <v>64</v>
      </c>
      <c r="R35" s="2" t="s">
        <v>128</v>
      </c>
      <c r="S35" s="2" t="s">
        <v>128</v>
      </c>
      <c r="T35" s="29"/>
      <c r="U35" s="16" t="s">
        <v>67</v>
      </c>
      <c r="V35" s="17" t="s">
        <v>67</v>
      </c>
      <c r="W35" s="17" t="s">
        <v>67</v>
      </c>
      <c r="X35" s="15">
        <v>4</v>
      </c>
      <c r="Y35" s="17" t="s">
        <v>67</v>
      </c>
      <c r="Z35" s="17" t="s">
        <v>67</v>
      </c>
      <c r="AA35" s="17" t="s">
        <v>67</v>
      </c>
      <c r="AB35" s="17" t="s">
        <v>67</v>
      </c>
      <c r="AC35" s="17" t="s">
        <v>67</v>
      </c>
      <c r="AD35" s="17" t="s">
        <v>67</v>
      </c>
      <c r="AE35" s="17" t="s">
        <v>67</v>
      </c>
      <c r="AF35" s="17" t="s">
        <v>67</v>
      </c>
      <c r="AG35" s="44"/>
      <c r="AH35" s="11"/>
      <c r="AI35" s="11"/>
      <c r="AJ35" s="45"/>
      <c r="AK35" s="44"/>
      <c r="AL35" s="11"/>
      <c r="AM35" s="11"/>
      <c r="AN35" s="45"/>
      <c r="AO35" s="44"/>
      <c r="AP35" s="11"/>
      <c r="AQ35" s="11"/>
      <c r="AR35" s="45"/>
      <c r="AS35" s="46"/>
      <c r="AT35" s="11"/>
      <c r="AU35" s="11"/>
      <c r="AV35" s="45"/>
      <c r="AW35" s="46"/>
      <c r="AX35" s="11"/>
      <c r="AY35" s="11"/>
      <c r="AZ35" s="45"/>
    </row>
    <row r="36" spans="1:52" ht="27" hidden="1" x14ac:dyDescent="0.25">
      <c r="A36" s="21" t="s">
        <v>131</v>
      </c>
      <c r="B36" s="71" t="s">
        <v>132</v>
      </c>
      <c r="C36" s="10">
        <v>0</v>
      </c>
      <c r="D36" s="3">
        <v>34</v>
      </c>
      <c r="E36" s="1" t="s">
        <v>194</v>
      </c>
      <c r="F36" s="1" t="s">
        <v>195</v>
      </c>
      <c r="G36" s="23" t="s">
        <v>168</v>
      </c>
      <c r="H36" s="2" t="s">
        <v>196</v>
      </c>
      <c r="I36" s="2"/>
      <c r="J36" s="2"/>
      <c r="K36" s="2" t="s">
        <v>1</v>
      </c>
      <c r="L36" s="2" t="s">
        <v>63</v>
      </c>
      <c r="M36" s="2" t="s">
        <v>63</v>
      </c>
      <c r="N36" s="2" t="s">
        <v>64</v>
      </c>
      <c r="O36" s="3" t="s">
        <v>197</v>
      </c>
      <c r="P36" s="23" t="s">
        <v>45</v>
      </c>
      <c r="Q36" s="31" t="s">
        <v>126</v>
      </c>
      <c r="R36" s="2" t="s">
        <v>135</v>
      </c>
      <c r="S36" s="2" t="s">
        <v>85</v>
      </c>
      <c r="T36" s="29"/>
      <c r="U36" s="16" t="s">
        <v>67</v>
      </c>
      <c r="V36" s="17" t="s">
        <v>67</v>
      </c>
      <c r="W36" s="17" t="s">
        <v>67</v>
      </c>
      <c r="X36" s="15" t="s">
        <v>67</v>
      </c>
      <c r="Y36" s="15" t="s">
        <v>67</v>
      </c>
      <c r="Z36" s="17" t="s">
        <v>67</v>
      </c>
      <c r="AA36" s="15" t="s">
        <v>67</v>
      </c>
      <c r="AB36" s="15"/>
      <c r="AC36" s="15"/>
      <c r="AD36" s="15"/>
      <c r="AE36" s="15"/>
      <c r="AF36" s="18"/>
      <c r="AG36" s="44"/>
      <c r="AH36" s="11"/>
      <c r="AI36" s="11"/>
      <c r="AJ36" s="45"/>
      <c r="AK36" s="44"/>
      <c r="AL36" s="11"/>
      <c r="AM36" s="11"/>
      <c r="AN36" s="45"/>
      <c r="AO36" s="44"/>
      <c r="AP36" s="11"/>
      <c r="AQ36" s="11"/>
      <c r="AR36" s="45"/>
      <c r="AS36" s="46"/>
      <c r="AT36" s="11"/>
      <c r="AU36" s="11"/>
      <c r="AV36" s="45"/>
      <c r="AW36" s="46"/>
      <c r="AX36" s="11"/>
      <c r="AY36" s="11"/>
      <c r="AZ36" s="45"/>
    </row>
    <row r="37" spans="1:52" ht="27" hidden="1" x14ac:dyDescent="0.25">
      <c r="A37" s="21" t="s">
        <v>131</v>
      </c>
      <c r="B37" s="71" t="s">
        <v>132</v>
      </c>
      <c r="C37" s="10">
        <v>0</v>
      </c>
      <c r="D37" s="27">
        <v>35</v>
      </c>
      <c r="E37" s="1" t="s">
        <v>198</v>
      </c>
      <c r="F37" s="1" t="s">
        <v>199</v>
      </c>
      <c r="G37" s="23" t="s">
        <v>135</v>
      </c>
      <c r="H37" s="2" t="s">
        <v>200</v>
      </c>
      <c r="I37" s="2"/>
      <c r="J37" s="2"/>
      <c r="K37" s="2" t="s">
        <v>1</v>
      </c>
      <c r="L37" s="2" t="s">
        <v>1</v>
      </c>
      <c r="M37" s="2" t="s">
        <v>1</v>
      </c>
      <c r="N37" s="2" t="s">
        <v>67</v>
      </c>
      <c r="O37" s="3" t="s">
        <v>201</v>
      </c>
      <c r="P37" s="23" t="s">
        <v>47</v>
      </c>
      <c r="Q37" s="31" t="s">
        <v>126</v>
      </c>
      <c r="R37" s="2"/>
      <c r="S37" s="2"/>
      <c r="T37" s="29"/>
      <c r="U37" s="16" t="s">
        <v>67</v>
      </c>
      <c r="V37" s="17" t="s">
        <v>67</v>
      </c>
      <c r="W37" s="17" t="s">
        <v>67</v>
      </c>
      <c r="X37" s="15" t="s">
        <v>67</v>
      </c>
      <c r="Y37" s="15" t="s">
        <v>67</v>
      </c>
      <c r="Z37" s="17" t="s">
        <v>67</v>
      </c>
      <c r="AA37" s="15" t="s">
        <v>67</v>
      </c>
      <c r="AB37" s="15"/>
      <c r="AC37" s="15"/>
      <c r="AD37" s="15"/>
      <c r="AE37" s="15"/>
      <c r="AF37" s="18"/>
      <c r="AG37" s="44"/>
      <c r="AH37" s="11"/>
      <c r="AI37" s="11"/>
      <c r="AJ37" s="45"/>
      <c r="AK37" s="44"/>
      <c r="AL37" s="11"/>
      <c r="AM37" s="11"/>
      <c r="AN37" s="45"/>
      <c r="AO37" s="44"/>
      <c r="AP37" s="11"/>
      <c r="AQ37" s="11"/>
      <c r="AR37" s="45"/>
      <c r="AS37" s="46"/>
      <c r="AT37" s="11"/>
      <c r="AU37" s="11"/>
      <c r="AV37" s="45"/>
      <c r="AW37" s="46"/>
      <c r="AX37" s="11"/>
      <c r="AY37" s="11"/>
      <c r="AZ37" s="45"/>
    </row>
    <row r="38" spans="1:52" ht="27" hidden="1" x14ac:dyDescent="0.25">
      <c r="A38" s="21" t="s">
        <v>131</v>
      </c>
      <c r="B38" s="71" t="s">
        <v>132</v>
      </c>
      <c r="C38" s="10">
        <v>0</v>
      </c>
      <c r="D38" s="3">
        <v>36</v>
      </c>
      <c r="E38" s="1" t="s">
        <v>202</v>
      </c>
      <c r="F38" s="1" t="s">
        <v>203</v>
      </c>
      <c r="G38" s="23" t="s">
        <v>204</v>
      </c>
      <c r="H38" s="2" t="s">
        <v>81</v>
      </c>
      <c r="I38" s="2"/>
      <c r="J38" s="2"/>
      <c r="K38" s="2" t="s">
        <v>1</v>
      </c>
      <c r="L38" s="2" t="s">
        <v>1</v>
      </c>
      <c r="M38" s="2" t="s">
        <v>1</v>
      </c>
      <c r="N38" s="2" t="s">
        <v>67</v>
      </c>
      <c r="O38" s="3" t="s">
        <v>205</v>
      </c>
      <c r="P38" s="23" t="s">
        <v>44</v>
      </c>
      <c r="Q38" s="31" t="s">
        <v>126</v>
      </c>
      <c r="R38" s="2" t="s">
        <v>135</v>
      </c>
      <c r="S38" s="2" t="s">
        <v>85</v>
      </c>
      <c r="T38" s="29"/>
      <c r="U38" s="16" t="s">
        <v>67</v>
      </c>
      <c r="V38" s="17" t="s">
        <v>67</v>
      </c>
      <c r="W38" s="17" t="s">
        <v>67</v>
      </c>
      <c r="X38" s="15" t="s">
        <v>67</v>
      </c>
      <c r="Y38" s="15" t="s">
        <v>67</v>
      </c>
      <c r="Z38" s="17" t="s">
        <v>67</v>
      </c>
      <c r="AA38" s="15" t="s">
        <v>67</v>
      </c>
      <c r="AB38" s="15"/>
      <c r="AC38" s="15"/>
      <c r="AD38" s="15"/>
      <c r="AE38" s="15"/>
      <c r="AF38" s="18"/>
      <c r="AG38" s="44"/>
      <c r="AH38" s="11"/>
      <c r="AI38" s="11"/>
      <c r="AJ38" s="45"/>
      <c r="AK38" s="44"/>
      <c r="AL38" s="11"/>
      <c r="AM38" s="11"/>
      <c r="AN38" s="45"/>
      <c r="AO38" s="44"/>
      <c r="AP38" s="11"/>
      <c r="AQ38" s="11"/>
      <c r="AR38" s="45"/>
      <c r="AS38" s="46"/>
      <c r="AT38" s="11"/>
      <c r="AU38" s="11"/>
      <c r="AV38" s="45"/>
      <c r="AW38" s="46"/>
      <c r="AX38" s="11"/>
      <c r="AY38" s="11"/>
      <c r="AZ38" s="45"/>
    </row>
    <row r="39" spans="1:52" ht="47.25" customHeight="1" x14ac:dyDescent="0.25">
      <c r="A39" s="117" t="s">
        <v>55</v>
      </c>
      <c r="B39" s="69" t="s">
        <v>106</v>
      </c>
      <c r="C39" s="64">
        <v>50</v>
      </c>
      <c r="D39" s="121">
        <v>8</v>
      </c>
      <c r="E39" s="72" t="s">
        <v>206</v>
      </c>
      <c r="F39" s="1" t="s">
        <v>423</v>
      </c>
      <c r="G39" s="23" t="s">
        <v>168</v>
      </c>
      <c r="H39" s="2" t="s">
        <v>115</v>
      </c>
      <c r="I39" s="2" t="s">
        <v>178</v>
      </c>
      <c r="J39" s="2" t="s">
        <v>207</v>
      </c>
      <c r="K39" s="2" t="s">
        <v>63</v>
      </c>
      <c r="L39" s="2" t="s">
        <v>63</v>
      </c>
      <c r="M39" s="2" t="s">
        <v>1</v>
      </c>
      <c r="N39" s="2" t="s">
        <v>67</v>
      </c>
      <c r="O39" s="3"/>
      <c r="P39" s="3" t="s">
        <v>384</v>
      </c>
      <c r="Q39" s="31" t="s">
        <v>93</v>
      </c>
      <c r="R39" s="2" t="s">
        <v>128</v>
      </c>
      <c r="S39" s="2" t="s">
        <v>85</v>
      </c>
      <c r="T39" s="29">
        <v>6</v>
      </c>
      <c r="U39" s="16" t="s">
        <v>67</v>
      </c>
      <c r="V39" s="17" t="s">
        <v>67</v>
      </c>
      <c r="W39" s="17" t="s">
        <v>67</v>
      </c>
      <c r="X39" s="15">
        <v>2</v>
      </c>
      <c r="Y39" s="15">
        <v>1</v>
      </c>
      <c r="Z39" s="15">
        <v>2</v>
      </c>
      <c r="AA39" s="15">
        <v>2</v>
      </c>
      <c r="AB39" s="15"/>
      <c r="AC39" s="15"/>
      <c r="AD39" s="15"/>
      <c r="AE39" s="15"/>
      <c r="AF39" s="18"/>
      <c r="AG39" s="44"/>
      <c r="AH39" s="11"/>
      <c r="AI39" s="11"/>
      <c r="AJ39" s="45"/>
      <c r="AK39" s="44"/>
      <c r="AL39" s="11"/>
      <c r="AM39" s="11"/>
      <c r="AN39" s="45"/>
      <c r="AO39" s="44"/>
      <c r="AP39" s="11"/>
      <c r="AQ39" s="11"/>
      <c r="AR39" s="45"/>
      <c r="AS39" s="46"/>
      <c r="AT39" s="11"/>
      <c r="AU39" s="11"/>
      <c r="AV39" s="45"/>
      <c r="AW39" s="46"/>
      <c r="AX39" s="11"/>
      <c r="AY39" s="11"/>
      <c r="AZ39" s="45"/>
    </row>
    <row r="40" spans="1:52" ht="67.5" hidden="1" x14ac:dyDescent="0.25">
      <c r="A40" s="122" t="s">
        <v>208</v>
      </c>
      <c r="B40" s="70" t="s">
        <v>209</v>
      </c>
      <c r="C40" s="75"/>
      <c r="D40" s="3">
        <v>53</v>
      </c>
      <c r="E40" s="1" t="s">
        <v>210</v>
      </c>
      <c r="F40" s="1" t="s">
        <v>211</v>
      </c>
      <c r="G40" s="23" t="s">
        <v>212</v>
      </c>
      <c r="H40" s="2" t="s">
        <v>213</v>
      </c>
      <c r="I40" s="3" t="s">
        <v>214</v>
      </c>
      <c r="J40" s="3" t="s">
        <v>215</v>
      </c>
      <c r="K40" s="2" t="s">
        <v>63</v>
      </c>
      <c r="L40" s="2" t="s">
        <v>63</v>
      </c>
      <c r="M40" s="2" t="s">
        <v>63</v>
      </c>
      <c r="N40" s="2" t="s">
        <v>64</v>
      </c>
      <c r="O40" s="3"/>
      <c r="P40" s="3" t="s">
        <v>157</v>
      </c>
      <c r="Q40" s="31" t="s">
        <v>74</v>
      </c>
      <c r="R40" s="2" t="s">
        <v>188</v>
      </c>
      <c r="S40" s="2" t="s">
        <v>85</v>
      </c>
      <c r="T40" s="29"/>
      <c r="U40" s="16" t="s">
        <v>67</v>
      </c>
      <c r="V40" s="17" t="s">
        <v>67</v>
      </c>
      <c r="W40" s="17" t="s">
        <v>67</v>
      </c>
      <c r="X40" s="15" t="s">
        <v>67</v>
      </c>
      <c r="Y40" s="15" t="s">
        <v>67</v>
      </c>
      <c r="Z40" s="15">
        <v>1</v>
      </c>
      <c r="AA40" s="15" t="s">
        <v>67</v>
      </c>
      <c r="AB40" s="15"/>
      <c r="AC40" s="15"/>
      <c r="AD40" s="15"/>
      <c r="AE40" s="15"/>
      <c r="AF40" s="18"/>
      <c r="AG40" s="44"/>
      <c r="AH40" s="11"/>
      <c r="AI40" s="11"/>
      <c r="AJ40" s="45"/>
      <c r="AK40" s="44"/>
      <c r="AL40" s="11"/>
      <c r="AM40" s="11"/>
      <c r="AN40" s="45"/>
      <c r="AO40" s="44"/>
      <c r="AP40" s="11"/>
      <c r="AQ40" s="11"/>
      <c r="AR40" s="45"/>
      <c r="AS40" s="46"/>
      <c r="AT40" s="11"/>
      <c r="AU40" s="11"/>
      <c r="AV40" s="45"/>
      <c r="AW40" s="46"/>
      <c r="AX40" s="11"/>
      <c r="AY40" s="11"/>
      <c r="AZ40" s="45"/>
    </row>
    <row r="41" spans="1:52" ht="27" hidden="1" x14ac:dyDescent="0.25">
      <c r="A41" s="119" t="s">
        <v>100</v>
      </c>
      <c r="B41" s="97" t="s">
        <v>136</v>
      </c>
      <c r="C41" s="65">
        <v>0</v>
      </c>
      <c r="D41" s="27">
        <v>39</v>
      </c>
      <c r="E41" s="73" t="s">
        <v>190</v>
      </c>
      <c r="F41" s="96" t="s">
        <v>216</v>
      </c>
      <c r="G41" s="23" t="s">
        <v>98</v>
      </c>
      <c r="H41" s="2" t="s">
        <v>115</v>
      </c>
      <c r="I41" s="2"/>
      <c r="J41" s="2"/>
      <c r="K41" s="2" t="s">
        <v>63</v>
      </c>
      <c r="L41" s="2" t="s">
        <v>63</v>
      </c>
      <c r="M41" s="2" t="s">
        <v>1</v>
      </c>
      <c r="N41" s="2" t="s">
        <v>67</v>
      </c>
      <c r="O41" s="3"/>
      <c r="P41" s="120" t="s">
        <v>38</v>
      </c>
      <c r="Q41" s="31" t="s">
        <v>64</v>
      </c>
      <c r="R41" s="22" t="s">
        <v>135</v>
      </c>
      <c r="S41" s="22" t="s">
        <v>128</v>
      </c>
      <c r="T41" s="29"/>
      <c r="U41" s="16" t="s">
        <v>67</v>
      </c>
      <c r="V41" s="17" t="s">
        <v>67</v>
      </c>
      <c r="W41" s="17" t="s">
        <v>67</v>
      </c>
      <c r="X41" s="15">
        <v>4</v>
      </c>
      <c r="Y41" s="17" t="s">
        <v>67</v>
      </c>
      <c r="Z41" s="17" t="s">
        <v>67</v>
      </c>
      <c r="AA41" s="17" t="s">
        <v>67</v>
      </c>
      <c r="AB41" s="17" t="s">
        <v>67</v>
      </c>
      <c r="AC41" s="17" t="s">
        <v>67</v>
      </c>
      <c r="AD41" s="17" t="s">
        <v>67</v>
      </c>
      <c r="AE41" s="17" t="s">
        <v>67</v>
      </c>
      <c r="AF41" s="17" t="s">
        <v>67</v>
      </c>
      <c r="AG41" s="44"/>
      <c r="AH41" s="11"/>
      <c r="AI41" s="11"/>
      <c r="AJ41" s="45"/>
      <c r="AK41" s="44"/>
      <c r="AL41" s="11"/>
      <c r="AM41" s="11"/>
      <c r="AN41" s="45"/>
      <c r="AO41" s="44"/>
      <c r="AP41" s="11"/>
      <c r="AQ41" s="11"/>
      <c r="AR41" s="45"/>
      <c r="AS41" s="46"/>
      <c r="AT41" s="11"/>
      <c r="AU41" s="11"/>
      <c r="AV41" s="45"/>
      <c r="AW41" s="46"/>
      <c r="AX41" s="41"/>
      <c r="AY41" s="11"/>
      <c r="AZ41" s="45"/>
    </row>
    <row r="42" spans="1:52" ht="108" hidden="1" x14ac:dyDescent="0.25">
      <c r="A42" s="118" t="s">
        <v>182</v>
      </c>
      <c r="B42" s="71" t="s">
        <v>183</v>
      </c>
      <c r="C42" s="66">
        <v>0.1</v>
      </c>
      <c r="D42" s="3">
        <v>40</v>
      </c>
      <c r="E42" s="1" t="s">
        <v>217</v>
      </c>
      <c r="F42" s="1" t="s">
        <v>218</v>
      </c>
      <c r="G42" s="23" t="s">
        <v>219</v>
      </c>
      <c r="H42" s="2" t="s">
        <v>187</v>
      </c>
      <c r="I42" s="2"/>
      <c r="J42" s="2"/>
      <c r="K42" s="2" t="s">
        <v>1</v>
      </c>
      <c r="L42" s="2" t="s">
        <v>1</v>
      </c>
      <c r="M42" s="2" t="s">
        <v>1</v>
      </c>
      <c r="N42" s="2" t="s">
        <v>67</v>
      </c>
      <c r="O42" s="3"/>
      <c r="P42" s="120" t="s">
        <v>382</v>
      </c>
      <c r="Q42" s="31" t="s">
        <v>93</v>
      </c>
      <c r="R42" s="2" t="s">
        <v>188</v>
      </c>
      <c r="S42" s="2" t="s">
        <v>85</v>
      </c>
      <c r="T42" s="29"/>
      <c r="U42" s="16" t="s">
        <v>67</v>
      </c>
      <c r="V42" s="17" t="s">
        <v>67</v>
      </c>
      <c r="W42" s="17" t="s">
        <v>67</v>
      </c>
      <c r="X42" s="15">
        <v>2</v>
      </c>
      <c r="Y42" s="15">
        <v>2</v>
      </c>
      <c r="Z42" s="15">
        <v>2</v>
      </c>
      <c r="AA42" s="15">
        <v>2</v>
      </c>
      <c r="AB42" s="15"/>
      <c r="AC42" s="15"/>
      <c r="AD42" s="15"/>
      <c r="AE42" s="15"/>
      <c r="AF42" s="18"/>
      <c r="AG42" s="44"/>
      <c r="AH42" s="11"/>
      <c r="AI42" s="11"/>
      <c r="AJ42" s="45"/>
      <c r="AK42" s="44"/>
      <c r="AL42" s="11"/>
      <c r="AM42" s="11"/>
      <c r="AN42" s="45"/>
      <c r="AO42" s="44"/>
      <c r="AP42" s="11"/>
      <c r="AQ42" s="11"/>
      <c r="AR42" s="45"/>
      <c r="AS42" s="46"/>
      <c r="AT42" s="11"/>
      <c r="AU42" s="11"/>
      <c r="AV42" s="45"/>
      <c r="AW42" s="46"/>
      <c r="AX42" s="11"/>
      <c r="AY42" s="11"/>
      <c r="AZ42" s="45"/>
    </row>
    <row r="43" spans="1:52" ht="81" hidden="1" x14ac:dyDescent="0.25">
      <c r="A43" s="118" t="s">
        <v>182</v>
      </c>
      <c r="B43" s="71" t="s">
        <v>183</v>
      </c>
      <c r="C43" s="66">
        <v>0.1</v>
      </c>
      <c r="D43" s="27">
        <v>41</v>
      </c>
      <c r="E43" s="1" t="s">
        <v>220</v>
      </c>
      <c r="F43" s="1" t="s">
        <v>221</v>
      </c>
      <c r="G43" s="23" t="s">
        <v>186</v>
      </c>
      <c r="H43" s="2" t="s">
        <v>187</v>
      </c>
      <c r="I43" s="2"/>
      <c r="J43" s="2"/>
      <c r="K43" s="2" t="s">
        <v>1</v>
      </c>
      <c r="L43" s="2" t="s">
        <v>1</v>
      </c>
      <c r="M43" s="2" t="s">
        <v>1</v>
      </c>
      <c r="N43" s="2" t="s">
        <v>67</v>
      </c>
      <c r="O43" s="3"/>
      <c r="P43" s="120" t="s">
        <v>382</v>
      </c>
      <c r="Q43" s="31" t="s">
        <v>93</v>
      </c>
      <c r="R43" s="2" t="s">
        <v>188</v>
      </c>
      <c r="S43" s="2" t="s">
        <v>85</v>
      </c>
      <c r="T43" s="29"/>
      <c r="U43" s="16" t="s">
        <v>67</v>
      </c>
      <c r="V43" s="17" t="s">
        <v>67</v>
      </c>
      <c r="W43" s="17" t="s">
        <v>67</v>
      </c>
      <c r="X43" s="15">
        <v>2</v>
      </c>
      <c r="Y43" s="15">
        <v>2</v>
      </c>
      <c r="Z43" s="15">
        <v>2</v>
      </c>
      <c r="AA43" s="15">
        <v>2</v>
      </c>
      <c r="AB43" s="15"/>
      <c r="AC43" s="15"/>
      <c r="AD43" s="15"/>
      <c r="AE43" s="15"/>
      <c r="AF43" s="18"/>
      <c r="AG43" s="44"/>
      <c r="AH43" s="11"/>
      <c r="AI43" s="11"/>
      <c r="AJ43" s="45"/>
      <c r="AK43" s="44"/>
      <c r="AL43" s="11"/>
      <c r="AM43" s="11"/>
      <c r="AN43" s="45"/>
      <c r="AO43" s="44"/>
      <c r="AP43" s="11"/>
      <c r="AQ43" s="11"/>
      <c r="AR43" s="45"/>
      <c r="AS43" s="46"/>
      <c r="AT43" s="11"/>
      <c r="AU43" s="11"/>
      <c r="AV43" s="45"/>
      <c r="AW43" s="46"/>
      <c r="AX43" s="11"/>
      <c r="AY43" s="11"/>
      <c r="AZ43" s="45"/>
    </row>
    <row r="44" spans="1:52" ht="45" hidden="1" x14ac:dyDescent="0.25">
      <c r="A44" s="21" t="s">
        <v>169</v>
      </c>
      <c r="B44" s="70" t="s">
        <v>170</v>
      </c>
      <c r="C44" s="65">
        <v>0</v>
      </c>
      <c r="D44" s="3">
        <v>42</v>
      </c>
      <c r="E44" s="72" t="s">
        <v>171</v>
      </c>
      <c r="F44" s="1" t="s">
        <v>417</v>
      </c>
      <c r="G44" s="23" t="s">
        <v>168</v>
      </c>
      <c r="H44" s="2" t="s">
        <v>196</v>
      </c>
      <c r="I44" s="2"/>
      <c r="J44" s="2"/>
      <c r="K44" s="2" t="s">
        <v>1</v>
      </c>
      <c r="L44" s="2" t="s">
        <v>63</v>
      </c>
      <c r="M44" s="2" t="s">
        <v>63</v>
      </c>
      <c r="N44" s="2" t="s">
        <v>64</v>
      </c>
      <c r="O44" s="3" t="s">
        <v>197</v>
      </c>
      <c r="P44" s="2" t="s">
        <v>47</v>
      </c>
      <c r="Q44" s="31" t="s">
        <v>126</v>
      </c>
      <c r="R44" s="2" t="s">
        <v>135</v>
      </c>
      <c r="S44" s="2" t="s">
        <v>85</v>
      </c>
      <c r="T44" s="30"/>
      <c r="U44" s="16" t="s">
        <v>67</v>
      </c>
      <c r="V44" s="17" t="s">
        <v>67</v>
      </c>
      <c r="W44" s="17" t="s">
        <v>67</v>
      </c>
      <c r="X44" s="24" t="s">
        <v>67</v>
      </c>
      <c r="Y44" s="15" t="s">
        <v>67</v>
      </c>
      <c r="Z44" s="24" t="s">
        <v>67</v>
      </c>
      <c r="AA44" s="24" t="s">
        <v>67</v>
      </c>
      <c r="AB44" s="24"/>
      <c r="AC44" s="24"/>
      <c r="AD44" s="24"/>
      <c r="AE44" s="24"/>
      <c r="AF44" s="25"/>
      <c r="AG44" s="47"/>
      <c r="AH44" s="23"/>
      <c r="AI44" s="23"/>
      <c r="AJ44" s="48"/>
      <c r="AK44" s="47"/>
      <c r="AL44" s="23"/>
      <c r="AM44" s="23"/>
      <c r="AN44" s="48"/>
      <c r="AO44" s="47"/>
      <c r="AP44" s="23"/>
      <c r="AQ44" s="23"/>
      <c r="AR44" s="48"/>
      <c r="AS44" s="49"/>
      <c r="AT44" s="23"/>
      <c r="AU44" s="23"/>
      <c r="AV44" s="48"/>
      <c r="AW44" s="49"/>
      <c r="AX44" s="23"/>
      <c r="AY44" s="23"/>
      <c r="AZ44" s="48"/>
    </row>
    <row r="45" spans="1:52" s="26" customFormat="1" ht="45" hidden="1" x14ac:dyDescent="0.25">
      <c r="A45" s="21" t="s">
        <v>169</v>
      </c>
      <c r="B45" s="70" t="s">
        <v>170</v>
      </c>
      <c r="C45" s="65">
        <v>0</v>
      </c>
      <c r="D45" s="27">
        <v>43</v>
      </c>
      <c r="E45" s="61" t="s">
        <v>222</v>
      </c>
      <c r="F45" s="1" t="s">
        <v>223</v>
      </c>
      <c r="G45" s="23" t="s">
        <v>224</v>
      </c>
      <c r="H45" s="2" t="s">
        <v>225</v>
      </c>
      <c r="I45" s="2"/>
      <c r="J45" s="2"/>
      <c r="K45" s="2" t="s">
        <v>1</v>
      </c>
      <c r="L45" s="2" t="s">
        <v>1</v>
      </c>
      <c r="M45" s="2" t="s">
        <v>1</v>
      </c>
      <c r="N45" s="2" t="s">
        <v>67</v>
      </c>
      <c r="O45" s="3"/>
      <c r="P45" s="2" t="s">
        <v>47</v>
      </c>
      <c r="Q45" s="31" t="s">
        <v>126</v>
      </c>
      <c r="R45" s="22"/>
      <c r="S45" s="22"/>
      <c r="T45" s="29"/>
      <c r="U45" s="16" t="s">
        <v>67</v>
      </c>
      <c r="V45" s="17" t="s">
        <v>67</v>
      </c>
      <c r="W45" s="17" t="s">
        <v>67</v>
      </c>
      <c r="X45" s="24" t="s">
        <v>67</v>
      </c>
      <c r="Y45" s="15" t="s">
        <v>67</v>
      </c>
      <c r="Z45" s="15" t="s">
        <v>67</v>
      </c>
      <c r="AA45" s="15" t="s">
        <v>67</v>
      </c>
      <c r="AB45" s="15"/>
      <c r="AC45" s="15"/>
      <c r="AD45" s="15"/>
      <c r="AE45" s="15"/>
      <c r="AF45" s="18"/>
      <c r="AG45" s="44"/>
      <c r="AH45" s="11"/>
      <c r="AI45" s="11"/>
      <c r="AJ45" s="45"/>
      <c r="AK45" s="44"/>
      <c r="AL45" s="11"/>
      <c r="AM45" s="11"/>
      <c r="AN45" s="45"/>
      <c r="AO45" s="44"/>
      <c r="AP45" s="11"/>
      <c r="AQ45" s="11"/>
      <c r="AR45" s="45"/>
      <c r="AS45" s="46"/>
      <c r="AT45" s="11"/>
      <c r="AU45" s="11"/>
      <c r="AV45" s="45"/>
      <c r="AW45" s="46"/>
      <c r="AX45" s="11"/>
      <c r="AY45" s="11"/>
      <c r="AZ45" s="45"/>
    </row>
    <row r="46" spans="1:52" ht="67.5" hidden="1" x14ac:dyDescent="0.25">
      <c r="A46" s="21" t="s">
        <v>169</v>
      </c>
      <c r="B46" s="12" t="s">
        <v>226</v>
      </c>
      <c r="C46" s="13">
        <v>1</v>
      </c>
      <c r="D46" s="3">
        <v>44</v>
      </c>
      <c r="E46" s="1" t="s">
        <v>227</v>
      </c>
      <c r="F46" s="1" t="s">
        <v>228</v>
      </c>
      <c r="G46" s="23" t="s">
        <v>80</v>
      </c>
      <c r="H46" s="2" t="s">
        <v>81</v>
      </c>
      <c r="I46" s="2" t="s">
        <v>229</v>
      </c>
      <c r="J46" s="2" t="s">
        <v>230</v>
      </c>
      <c r="K46" s="2" t="s">
        <v>1</v>
      </c>
      <c r="L46" s="2" t="s">
        <v>63</v>
      </c>
      <c r="M46" s="2" t="s">
        <v>63</v>
      </c>
      <c r="N46" s="2" t="s">
        <v>64</v>
      </c>
      <c r="O46" s="3" t="s">
        <v>231</v>
      </c>
      <c r="P46" s="2" t="s">
        <v>44</v>
      </c>
      <c r="Q46" s="31" t="s">
        <v>126</v>
      </c>
      <c r="R46" s="2" t="s">
        <v>84</v>
      </c>
      <c r="S46" s="2" t="s">
        <v>85</v>
      </c>
      <c r="T46" s="29"/>
      <c r="U46" s="16" t="s">
        <v>67</v>
      </c>
      <c r="V46" s="17" t="s">
        <v>67</v>
      </c>
      <c r="W46" s="17" t="s">
        <v>67</v>
      </c>
      <c r="X46" s="24" t="s">
        <v>67</v>
      </c>
      <c r="Y46" s="15" t="s">
        <v>67</v>
      </c>
      <c r="Z46" s="15" t="s">
        <v>67</v>
      </c>
      <c r="AA46" s="15" t="s">
        <v>67</v>
      </c>
      <c r="AB46" s="15"/>
      <c r="AC46" s="15"/>
      <c r="AD46" s="15"/>
      <c r="AE46" s="15"/>
      <c r="AF46" s="18"/>
      <c r="AG46" s="44"/>
      <c r="AH46" s="11"/>
      <c r="AI46" s="11"/>
      <c r="AJ46" s="45"/>
      <c r="AK46" s="44"/>
      <c r="AL46" s="11"/>
      <c r="AM46" s="11"/>
      <c r="AN46" s="45"/>
      <c r="AO46" s="44"/>
      <c r="AP46" s="11"/>
      <c r="AQ46" s="11"/>
      <c r="AR46" s="45"/>
      <c r="AS46" s="46"/>
      <c r="AT46" s="11"/>
      <c r="AU46" s="11"/>
      <c r="AV46" s="45"/>
      <c r="AW46" s="46"/>
      <c r="AX46" s="11"/>
      <c r="AY46" s="11"/>
      <c r="AZ46" s="45"/>
    </row>
    <row r="47" spans="1:52" ht="54" hidden="1" x14ac:dyDescent="0.25">
      <c r="A47" s="21" t="s">
        <v>208</v>
      </c>
      <c r="B47" s="70" t="s">
        <v>209</v>
      </c>
      <c r="C47" s="75"/>
      <c r="D47" s="27">
        <v>45</v>
      </c>
      <c r="E47" s="1" t="s">
        <v>232</v>
      </c>
      <c r="F47" s="1" t="s">
        <v>233</v>
      </c>
      <c r="G47" s="23" t="s">
        <v>234</v>
      </c>
      <c r="H47" s="2" t="s">
        <v>235</v>
      </c>
      <c r="I47" s="2" t="s">
        <v>236</v>
      </c>
      <c r="J47" s="2"/>
      <c r="K47" s="2" t="s">
        <v>1</v>
      </c>
      <c r="L47" s="2" t="s">
        <v>1</v>
      </c>
      <c r="M47" s="2" t="s">
        <v>1</v>
      </c>
      <c r="N47" s="2" t="s">
        <v>67</v>
      </c>
      <c r="O47" s="3"/>
      <c r="P47" s="2" t="s">
        <v>47</v>
      </c>
      <c r="Q47" s="31" t="s">
        <v>126</v>
      </c>
      <c r="R47" s="22"/>
      <c r="S47" s="22"/>
      <c r="T47" s="29"/>
      <c r="U47" s="16" t="s">
        <v>67</v>
      </c>
      <c r="V47" s="17" t="s">
        <v>67</v>
      </c>
      <c r="W47" s="17" t="s">
        <v>67</v>
      </c>
      <c r="X47" s="24" t="s">
        <v>67</v>
      </c>
      <c r="Y47" s="15" t="s">
        <v>67</v>
      </c>
      <c r="Z47" s="15" t="s">
        <v>67</v>
      </c>
      <c r="AA47" s="15" t="s">
        <v>67</v>
      </c>
      <c r="AB47" s="15"/>
      <c r="AC47" s="15"/>
      <c r="AD47" s="15"/>
      <c r="AE47" s="15"/>
      <c r="AF47" s="18"/>
      <c r="AG47" s="44"/>
      <c r="AH47" s="11"/>
      <c r="AI47" s="11"/>
      <c r="AJ47" s="45"/>
      <c r="AK47" s="44"/>
      <c r="AL47" s="11"/>
      <c r="AM47" s="11"/>
      <c r="AN47" s="45"/>
      <c r="AO47" s="44"/>
      <c r="AP47" s="11"/>
      <c r="AQ47" s="11"/>
      <c r="AR47" s="45"/>
      <c r="AS47" s="46"/>
      <c r="AT47" s="11"/>
      <c r="AU47" s="11"/>
      <c r="AV47" s="45"/>
      <c r="AW47" s="46"/>
      <c r="AX47" s="11"/>
      <c r="AY47" s="11"/>
      <c r="AZ47" s="45"/>
    </row>
    <row r="48" spans="1:52" ht="45" hidden="1" x14ac:dyDescent="0.25">
      <c r="A48" s="21" t="s">
        <v>208</v>
      </c>
      <c r="B48" s="70" t="s">
        <v>209</v>
      </c>
      <c r="C48" s="75"/>
      <c r="D48" s="3">
        <v>46</v>
      </c>
      <c r="E48" s="1" t="s">
        <v>237</v>
      </c>
      <c r="F48" s="1" t="s">
        <v>238</v>
      </c>
      <c r="G48" s="23" t="s">
        <v>239</v>
      </c>
      <c r="H48" s="2" t="s">
        <v>235</v>
      </c>
      <c r="I48" s="2" t="s">
        <v>240</v>
      </c>
      <c r="J48" s="2"/>
      <c r="K48" s="2" t="s">
        <v>1</v>
      </c>
      <c r="L48" s="2" t="s">
        <v>1</v>
      </c>
      <c r="M48" s="2" t="s">
        <v>1</v>
      </c>
      <c r="N48" s="2" t="s">
        <v>67</v>
      </c>
      <c r="O48" s="3"/>
      <c r="P48" s="2" t="s">
        <v>47</v>
      </c>
      <c r="Q48" s="31" t="s">
        <v>126</v>
      </c>
      <c r="R48" s="22"/>
      <c r="S48" s="22"/>
      <c r="T48" s="29"/>
      <c r="U48" s="16" t="s">
        <v>67</v>
      </c>
      <c r="V48" s="17" t="s">
        <v>67</v>
      </c>
      <c r="W48" s="17" t="s">
        <v>67</v>
      </c>
      <c r="X48" s="24" t="s">
        <v>67</v>
      </c>
      <c r="Y48" s="15" t="s">
        <v>67</v>
      </c>
      <c r="Z48" s="15" t="s">
        <v>67</v>
      </c>
      <c r="AA48" s="15" t="s">
        <v>67</v>
      </c>
      <c r="AB48" s="15"/>
      <c r="AC48" s="15"/>
      <c r="AD48" s="15"/>
      <c r="AE48" s="15"/>
      <c r="AF48" s="18"/>
      <c r="AG48" s="44"/>
      <c r="AH48" s="11"/>
      <c r="AI48" s="11"/>
      <c r="AJ48" s="45"/>
      <c r="AK48" s="44"/>
      <c r="AL48" s="11"/>
      <c r="AM48" s="11"/>
      <c r="AN48" s="45"/>
      <c r="AO48" s="44"/>
      <c r="AP48" s="11"/>
      <c r="AQ48" s="11"/>
      <c r="AR48" s="45"/>
      <c r="AS48" s="46"/>
      <c r="AT48" s="11"/>
      <c r="AU48" s="11"/>
      <c r="AV48" s="45"/>
      <c r="AW48" s="46"/>
      <c r="AX48" s="11"/>
      <c r="AY48" s="11"/>
      <c r="AZ48" s="45"/>
    </row>
    <row r="49" spans="1:52" ht="45" hidden="1" x14ac:dyDescent="0.25">
      <c r="A49" s="21" t="s">
        <v>208</v>
      </c>
      <c r="B49" s="70" t="s">
        <v>209</v>
      </c>
      <c r="C49" s="75"/>
      <c r="D49" s="27">
        <v>47</v>
      </c>
      <c r="E49" s="1" t="s">
        <v>241</v>
      </c>
      <c r="F49" s="1" t="s">
        <v>242</v>
      </c>
      <c r="G49" s="23" t="s">
        <v>243</v>
      </c>
      <c r="H49" s="2" t="s">
        <v>235</v>
      </c>
      <c r="I49" s="2" t="s">
        <v>234</v>
      </c>
      <c r="J49" s="2"/>
      <c r="K49" s="2" t="s">
        <v>1</v>
      </c>
      <c r="L49" s="2" t="s">
        <v>1</v>
      </c>
      <c r="M49" s="2" t="s">
        <v>1</v>
      </c>
      <c r="N49" s="2" t="s">
        <v>67</v>
      </c>
      <c r="O49" s="3"/>
      <c r="P49" s="2" t="s">
        <v>47</v>
      </c>
      <c r="Q49" s="31" t="s">
        <v>126</v>
      </c>
      <c r="R49" s="22"/>
      <c r="S49" s="22"/>
      <c r="T49" s="29"/>
      <c r="U49" s="16" t="s">
        <v>67</v>
      </c>
      <c r="V49" s="17" t="s">
        <v>67</v>
      </c>
      <c r="W49" s="17" t="s">
        <v>67</v>
      </c>
      <c r="X49" s="24" t="s">
        <v>67</v>
      </c>
      <c r="Y49" s="15" t="s">
        <v>67</v>
      </c>
      <c r="Z49" s="15" t="s">
        <v>67</v>
      </c>
      <c r="AA49" s="15" t="s">
        <v>67</v>
      </c>
      <c r="AB49" s="15"/>
      <c r="AC49" s="15"/>
      <c r="AD49" s="15"/>
      <c r="AE49" s="15"/>
      <c r="AF49" s="18"/>
      <c r="AG49" s="44"/>
      <c r="AH49" s="11"/>
      <c r="AI49" s="11"/>
      <c r="AJ49" s="45"/>
      <c r="AK49" s="44"/>
      <c r="AL49" s="11"/>
      <c r="AM49" s="11"/>
      <c r="AN49" s="45"/>
      <c r="AO49" s="44"/>
      <c r="AP49" s="11"/>
      <c r="AQ49" s="11"/>
      <c r="AR49" s="45"/>
      <c r="AS49" s="46"/>
      <c r="AT49" s="11"/>
      <c r="AU49" s="11"/>
      <c r="AV49" s="45"/>
      <c r="AW49" s="46"/>
      <c r="AX49" s="11"/>
      <c r="AY49" s="11"/>
      <c r="AZ49" s="45"/>
    </row>
    <row r="50" spans="1:52" ht="54" hidden="1" x14ac:dyDescent="0.25">
      <c r="A50" s="21" t="s">
        <v>208</v>
      </c>
      <c r="B50" s="70" t="s">
        <v>209</v>
      </c>
      <c r="C50" s="75"/>
      <c r="D50" s="3">
        <v>48</v>
      </c>
      <c r="E50" s="1" t="s">
        <v>244</v>
      </c>
      <c r="F50" s="1" t="s">
        <v>245</v>
      </c>
      <c r="G50" s="23" t="s">
        <v>246</v>
      </c>
      <c r="H50" s="2" t="s">
        <v>235</v>
      </c>
      <c r="I50" s="2"/>
      <c r="J50" s="2"/>
      <c r="K50" s="2" t="s">
        <v>1</v>
      </c>
      <c r="L50" s="2" t="s">
        <v>1</v>
      </c>
      <c r="M50" s="2" t="s">
        <v>1</v>
      </c>
      <c r="N50" s="2" t="s">
        <v>67</v>
      </c>
      <c r="O50" s="3"/>
      <c r="P50" s="2" t="s">
        <v>47</v>
      </c>
      <c r="Q50" s="31" t="s">
        <v>126</v>
      </c>
      <c r="R50" s="22"/>
      <c r="S50" s="22"/>
      <c r="T50" s="29"/>
      <c r="U50" s="16" t="s">
        <v>67</v>
      </c>
      <c r="V50" s="17" t="s">
        <v>67</v>
      </c>
      <c r="W50" s="17" t="s">
        <v>67</v>
      </c>
      <c r="X50" s="24" t="s">
        <v>67</v>
      </c>
      <c r="Y50" s="15" t="s">
        <v>67</v>
      </c>
      <c r="Z50" s="15" t="s">
        <v>67</v>
      </c>
      <c r="AA50" s="15" t="s">
        <v>67</v>
      </c>
      <c r="AB50" s="15"/>
      <c r="AC50" s="15"/>
      <c r="AD50" s="15"/>
      <c r="AE50" s="15"/>
      <c r="AF50" s="18"/>
      <c r="AG50" s="44"/>
      <c r="AH50" s="11"/>
      <c r="AI50" s="11"/>
      <c r="AJ50" s="45"/>
      <c r="AK50" s="44"/>
      <c r="AL50" s="11"/>
      <c r="AM50" s="11"/>
      <c r="AN50" s="45"/>
      <c r="AO50" s="44"/>
      <c r="AP50" s="11"/>
      <c r="AQ50" s="11"/>
      <c r="AR50" s="45"/>
      <c r="AS50" s="46"/>
      <c r="AT50" s="11"/>
      <c r="AU50" s="11"/>
      <c r="AV50" s="45"/>
      <c r="AW50" s="46"/>
      <c r="AX50" s="11"/>
      <c r="AY50" s="11"/>
      <c r="AZ50" s="45"/>
    </row>
    <row r="51" spans="1:52" ht="84" hidden="1" customHeight="1" x14ac:dyDescent="0.25">
      <c r="A51" s="21" t="s">
        <v>208</v>
      </c>
      <c r="B51" s="70" t="s">
        <v>209</v>
      </c>
      <c r="C51" s="75"/>
      <c r="D51" s="27">
        <v>49</v>
      </c>
      <c r="E51" s="1" t="s">
        <v>247</v>
      </c>
      <c r="F51" s="1" t="s">
        <v>248</v>
      </c>
      <c r="G51" s="23" t="s">
        <v>236</v>
      </c>
      <c r="H51" s="2" t="s">
        <v>235</v>
      </c>
      <c r="I51" s="3" t="s">
        <v>249</v>
      </c>
      <c r="J51" s="3"/>
      <c r="K51" s="2" t="s">
        <v>1</v>
      </c>
      <c r="L51" s="2" t="s">
        <v>1</v>
      </c>
      <c r="M51" s="2" t="s">
        <v>1</v>
      </c>
      <c r="N51" s="2" t="s">
        <v>67</v>
      </c>
      <c r="O51" s="3"/>
      <c r="P51" s="3" t="s">
        <v>116</v>
      </c>
      <c r="Q51" s="31" t="s">
        <v>93</v>
      </c>
      <c r="R51" s="2" t="s">
        <v>250</v>
      </c>
      <c r="S51" s="2" t="s">
        <v>250</v>
      </c>
      <c r="T51" s="29"/>
      <c r="U51" s="16" t="s">
        <v>67</v>
      </c>
      <c r="V51" s="17" t="s">
        <v>67</v>
      </c>
      <c r="W51" s="17" t="s">
        <v>67</v>
      </c>
      <c r="X51" s="15">
        <v>2</v>
      </c>
      <c r="Y51" s="15">
        <v>2</v>
      </c>
      <c r="Z51" s="15">
        <v>2</v>
      </c>
      <c r="AA51" s="15">
        <v>2</v>
      </c>
      <c r="AB51" s="15"/>
      <c r="AC51" s="15"/>
      <c r="AD51" s="15"/>
      <c r="AE51" s="15"/>
      <c r="AF51" s="18"/>
      <c r="AG51" s="44"/>
      <c r="AH51" s="11"/>
      <c r="AI51" s="11"/>
      <c r="AJ51" s="45"/>
      <c r="AK51" s="44"/>
      <c r="AL51" s="11"/>
      <c r="AM51" s="11"/>
      <c r="AN51" s="45"/>
      <c r="AO51" s="44"/>
      <c r="AP51" s="11"/>
      <c r="AQ51" s="11"/>
      <c r="AR51" s="45"/>
      <c r="AS51" s="46"/>
      <c r="AT51" s="11"/>
      <c r="AU51" s="11"/>
      <c r="AV51" s="45"/>
      <c r="AW51" s="46"/>
      <c r="AX51" s="11"/>
      <c r="AY51" s="11"/>
      <c r="AZ51" s="45"/>
    </row>
    <row r="52" spans="1:52" ht="45" hidden="1" x14ac:dyDescent="0.25">
      <c r="A52" s="21" t="s">
        <v>208</v>
      </c>
      <c r="B52" s="70" t="s">
        <v>209</v>
      </c>
      <c r="C52" s="75"/>
      <c r="D52" s="3">
        <v>50</v>
      </c>
      <c r="E52" s="1" t="s">
        <v>251</v>
      </c>
      <c r="F52" s="1" t="s">
        <v>252</v>
      </c>
      <c r="G52" s="23" t="s">
        <v>224</v>
      </c>
      <c r="H52" s="2" t="s">
        <v>225</v>
      </c>
      <c r="I52" s="2"/>
      <c r="J52" s="2"/>
      <c r="K52" s="2" t="s">
        <v>1</v>
      </c>
      <c r="L52" s="2" t="s">
        <v>1</v>
      </c>
      <c r="M52" s="2" t="s">
        <v>1</v>
      </c>
      <c r="N52" s="2" t="s">
        <v>67</v>
      </c>
      <c r="O52" s="3"/>
      <c r="P52" s="2" t="s">
        <v>47</v>
      </c>
      <c r="Q52" s="31" t="s">
        <v>126</v>
      </c>
      <c r="R52" s="22"/>
      <c r="S52" s="22"/>
      <c r="T52" s="29"/>
      <c r="U52" s="16" t="s">
        <v>67</v>
      </c>
      <c r="V52" s="17" t="s">
        <v>67</v>
      </c>
      <c r="W52" s="17" t="s">
        <v>67</v>
      </c>
      <c r="X52" s="15" t="s">
        <v>67</v>
      </c>
      <c r="Y52" s="15" t="s">
        <v>67</v>
      </c>
      <c r="Z52" s="15" t="s">
        <v>67</v>
      </c>
      <c r="AA52" s="15" t="s">
        <v>67</v>
      </c>
      <c r="AB52" s="15"/>
      <c r="AC52" s="15"/>
      <c r="AD52" s="15"/>
      <c r="AE52" s="15"/>
      <c r="AF52" s="18"/>
      <c r="AG52" s="44"/>
      <c r="AH52" s="11"/>
      <c r="AI52" s="11"/>
      <c r="AJ52" s="45"/>
      <c r="AK52" s="44"/>
      <c r="AL52" s="11"/>
      <c r="AM52" s="11"/>
      <c r="AN52" s="45"/>
      <c r="AO52" s="44"/>
      <c r="AP52" s="11"/>
      <c r="AQ52" s="11"/>
      <c r="AR52" s="45"/>
      <c r="AS52" s="46"/>
      <c r="AT52" s="11"/>
      <c r="AU52" s="11"/>
      <c r="AV52" s="45"/>
      <c r="AW52" s="46"/>
      <c r="AX52" s="11"/>
      <c r="AY52" s="11"/>
      <c r="AZ52" s="45"/>
    </row>
    <row r="53" spans="1:52" ht="45" hidden="1" x14ac:dyDescent="0.25">
      <c r="A53" s="21" t="s">
        <v>208</v>
      </c>
      <c r="B53" s="70" t="s">
        <v>209</v>
      </c>
      <c r="C53" s="75"/>
      <c r="D53" s="27">
        <v>51</v>
      </c>
      <c r="E53" s="1" t="s">
        <v>253</v>
      </c>
      <c r="F53" s="1" t="s">
        <v>254</v>
      </c>
      <c r="G53" s="23" t="s">
        <v>255</v>
      </c>
      <c r="H53" s="2" t="s">
        <v>225</v>
      </c>
      <c r="I53" s="2"/>
      <c r="J53" s="2"/>
      <c r="K53" s="2" t="s">
        <v>1</v>
      </c>
      <c r="L53" s="2" t="s">
        <v>1</v>
      </c>
      <c r="M53" s="2" t="s">
        <v>1</v>
      </c>
      <c r="N53" s="2" t="s">
        <v>67</v>
      </c>
      <c r="O53" s="3"/>
      <c r="P53" s="142" t="s">
        <v>38</v>
      </c>
      <c r="Q53" s="31" t="s">
        <v>64</v>
      </c>
      <c r="R53" s="2" t="s">
        <v>256</v>
      </c>
      <c r="S53" s="2" t="s">
        <v>256</v>
      </c>
      <c r="T53" s="29"/>
      <c r="U53" s="16" t="s">
        <v>67</v>
      </c>
      <c r="V53" s="17" t="s">
        <v>67</v>
      </c>
      <c r="W53" s="17" t="s">
        <v>67</v>
      </c>
      <c r="X53" s="15">
        <v>4</v>
      </c>
      <c r="Y53" s="17" t="s">
        <v>67</v>
      </c>
      <c r="Z53" s="17" t="s">
        <v>67</v>
      </c>
      <c r="AA53" s="17" t="s">
        <v>67</v>
      </c>
      <c r="AB53" s="17" t="s">
        <v>67</v>
      </c>
      <c r="AC53" s="17" t="s">
        <v>67</v>
      </c>
      <c r="AD53" s="17" t="s">
        <v>67</v>
      </c>
      <c r="AE53" s="17" t="s">
        <v>67</v>
      </c>
      <c r="AF53" s="17" t="s">
        <v>67</v>
      </c>
      <c r="AG53" s="44"/>
      <c r="AH53" s="11"/>
      <c r="AI53" s="11"/>
      <c r="AJ53" s="45"/>
      <c r="AK53" s="44"/>
      <c r="AL53" s="11"/>
      <c r="AM53" s="11"/>
      <c r="AN53" s="45"/>
      <c r="AO53" s="44"/>
      <c r="AP53" s="11"/>
      <c r="AQ53" s="11"/>
      <c r="AR53" s="45"/>
      <c r="AS53" s="46"/>
      <c r="AT53" s="11"/>
      <c r="AU53" s="11"/>
      <c r="AV53" s="45"/>
      <c r="AW53" s="46"/>
      <c r="AX53" s="11"/>
      <c r="AY53" s="11"/>
      <c r="AZ53" s="45"/>
    </row>
    <row r="54" spans="1:52" ht="45" hidden="1" x14ac:dyDescent="0.25">
      <c r="A54" s="21" t="s">
        <v>208</v>
      </c>
      <c r="B54" s="70" t="s">
        <v>209</v>
      </c>
      <c r="C54" s="75"/>
      <c r="D54" s="3">
        <v>52</v>
      </c>
      <c r="E54" s="1" t="s">
        <v>251</v>
      </c>
      <c r="F54" s="1" t="s">
        <v>257</v>
      </c>
      <c r="G54" s="23" t="s">
        <v>255</v>
      </c>
      <c r="H54" s="2" t="s">
        <v>225</v>
      </c>
      <c r="I54" s="2"/>
      <c r="J54" s="2"/>
      <c r="K54" s="2" t="s">
        <v>1</v>
      </c>
      <c r="L54" s="2" t="s">
        <v>1</v>
      </c>
      <c r="M54" s="2" t="s">
        <v>1</v>
      </c>
      <c r="N54" s="2" t="s">
        <v>67</v>
      </c>
      <c r="O54" s="3"/>
      <c r="P54" s="2" t="s">
        <v>47</v>
      </c>
      <c r="Q54" s="31" t="s">
        <v>126</v>
      </c>
      <c r="R54" s="22"/>
      <c r="S54" s="22"/>
      <c r="T54" s="29"/>
      <c r="U54" s="16" t="s">
        <v>67</v>
      </c>
      <c r="V54" s="17" t="s">
        <v>67</v>
      </c>
      <c r="W54" s="15" t="s">
        <v>67</v>
      </c>
      <c r="X54" s="15" t="s">
        <v>67</v>
      </c>
      <c r="Y54" s="15" t="s">
        <v>67</v>
      </c>
      <c r="Z54" s="15" t="s">
        <v>67</v>
      </c>
      <c r="AA54" s="15" t="s">
        <v>67</v>
      </c>
      <c r="AB54" s="15"/>
      <c r="AC54" s="15"/>
      <c r="AD54" s="15"/>
      <c r="AE54" s="15"/>
      <c r="AF54" s="18"/>
      <c r="AG54" s="44"/>
      <c r="AH54" s="11"/>
      <c r="AI54" s="11"/>
      <c r="AJ54" s="45"/>
      <c r="AK54" s="44"/>
      <c r="AL54" s="11"/>
      <c r="AM54" s="11"/>
      <c r="AN54" s="45"/>
      <c r="AO54" s="44"/>
      <c r="AP54" s="11"/>
      <c r="AQ54" s="11"/>
      <c r="AR54" s="45"/>
      <c r="AS54" s="46"/>
      <c r="AT54" s="11"/>
      <c r="AU54" s="11"/>
      <c r="AV54" s="45"/>
      <c r="AW54" s="46"/>
      <c r="AX54" s="11"/>
      <c r="AY54" s="11"/>
      <c r="AZ54" s="45"/>
    </row>
    <row r="55" spans="1:52" ht="30" hidden="1" customHeight="1" x14ac:dyDescent="0.25">
      <c r="A55" s="21" t="s">
        <v>55</v>
      </c>
      <c r="B55" s="71" t="s">
        <v>56</v>
      </c>
      <c r="C55" s="74">
        <v>5550</v>
      </c>
      <c r="D55" s="27">
        <v>3</v>
      </c>
      <c r="E55" s="150" t="s">
        <v>258</v>
      </c>
      <c r="F55" s="1" t="s">
        <v>259</v>
      </c>
      <c r="G55" s="23" t="s">
        <v>178</v>
      </c>
      <c r="H55" s="2" t="s">
        <v>115</v>
      </c>
      <c r="I55" s="3" t="s">
        <v>260</v>
      </c>
      <c r="J55" s="3"/>
      <c r="K55" s="2" t="s">
        <v>63</v>
      </c>
      <c r="L55" s="2" t="s">
        <v>63</v>
      </c>
      <c r="M55" s="2" t="s">
        <v>63</v>
      </c>
      <c r="N55" s="2" t="s">
        <v>64</v>
      </c>
      <c r="O55" s="3" t="s">
        <v>72</v>
      </c>
      <c r="P55" s="3" t="s">
        <v>383</v>
      </c>
      <c r="Q55" s="31" t="s">
        <v>64</v>
      </c>
      <c r="R55" s="2" t="s">
        <v>117</v>
      </c>
      <c r="S55" s="2" t="s">
        <v>85</v>
      </c>
      <c r="T55" s="29"/>
      <c r="U55" s="16" t="s">
        <v>67</v>
      </c>
      <c r="V55" s="17" t="s">
        <v>67</v>
      </c>
      <c r="W55" s="17" t="s">
        <v>67</v>
      </c>
      <c r="X55" s="15" t="s">
        <v>67</v>
      </c>
      <c r="Y55" s="15">
        <v>1</v>
      </c>
      <c r="Z55" s="15">
        <v>2</v>
      </c>
      <c r="AA55" s="15">
        <v>4</v>
      </c>
      <c r="AB55" s="15"/>
      <c r="AC55" s="15"/>
      <c r="AD55" s="15"/>
      <c r="AE55" s="15"/>
      <c r="AF55" s="18"/>
      <c r="AG55" s="44"/>
      <c r="AH55" s="11"/>
      <c r="AI55" s="11"/>
      <c r="AJ55" s="45"/>
      <c r="AK55" s="44"/>
      <c r="AL55" s="11"/>
      <c r="AM55" s="11"/>
      <c r="AN55" s="45"/>
      <c r="AO55" s="44"/>
      <c r="AP55" s="11"/>
      <c r="AQ55" s="11"/>
      <c r="AR55" s="45"/>
      <c r="AS55" s="46"/>
      <c r="AT55" s="11"/>
      <c r="AU55" s="11"/>
      <c r="AV55" s="45"/>
      <c r="AW55" s="46"/>
      <c r="AX55" s="11"/>
      <c r="AY55" s="11"/>
      <c r="AZ55" s="45"/>
    </row>
    <row r="56" spans="1:52" ht="82.5" customHeight="1" x14ac:dyDescent="0.25">
      <c r="A56" s="21" t="s">
        <v>100</v>
      </c>
      <c r="B56" s="71" t="s">
        <v>101</v>
      </c>
      <c r="C56" s="10" t="s">
        <v>102</v>
      </c>
      <c r="D56" s="3">
        <v>24</v>
      </c>
      <c r="E56" s="73" t="s">
        <v>147</v>
      </c>
      <c r="F56" s="1" t="s">
        <v>418</v>
      </c>
      <c r="G56" s="23" t="s">
        <v>168</v>
      </c>
      <c r="H56" s="2" t="s">
        <v>115</v>
      </c>
      <c r="I56" s="2"/>
      <c r="J56" s="2" t="s">
        <v>261</v>
      </c>
      <c r="K56" s="2" t="s">
        <v>63</v>
      </c>
      <c r="L56" s="2" t="s">
        <v>63</v>
      </c>
      <c r="M56" s="2" t="s">
        <v>1</v>
      </c>
      <c r="N56" s="2" t="s">
        <v>67</v>
      </c>
      <c r="O56" s="3"/>
      <c r="P56" s="120" t="s">
        <v>388</v>
      </c>
      <c r="Q56" s="31" t="s">
        <v>93</v>
      </c>
      <c r="R56" s="2" t="s">
        <v>128</v>
      </c>
      <c r="S56" s="2" t="s">
        <v>85</v>
      </c>
      <c r="T56" s="29">
        <v>6</v>
      </c>
      <c r="U56" s="16" t="s">
        <v>67</v>
      </c>
      <c r="V56" s="17" t="s">
        <v>67</v>
      </c>
      <c r="W56" s="17" t="s">
        <v>67</v>
      </c>
      <c r="X56" s="15">
        <v>2</v>
      </c>
      <c r="Y56" s="15">
        <v>1</v>
      </c>
      <c r="Z56" s="15">
        <v>2</v>
      </c>
      <c r="AA56" s="15">
        <v>2</v>
      </c>
      <c r="AB56" s="15"/>
      <c r="AC56" s="15"/>
      <c r="AD56" s="15"/>
      <c r="AE56" s="15"/>
      <c r="AF56" s="18"/>
      <c r="AG56" s="44"/>
      <c r="AH56" s="11"/>
      <c r="AI56" s="11"/>
      <c r="AJ56" s="45"/>
      <c r="AK56" s="44"/>
      <c r="AL56" s="11"/>
      <c r="AM56" s="11"/>
      <c r="AN56" s="45"/>
      <c r="AO56" s="44"/>
      <c r="AP56" s="11"/>
      <c r="AQ56" s="11"/>
      <c r="AR56" s="45"/>
      <c r="AS56" s="46"/>
      <c r="AT56" s="11"/>
      <c r="AU56" s="11"/>
      <c r="AV56" s="45"/>
      <c r="AW56" s="46"/>
      <c r="AX56" s="11"/>
      <c r="AY56" s="11"/>
      <c r="AZ56" s="45"/>
    </row>
  </sheetData>
  <autoFilter ref="A2:AZ56" xr:uid="{36135613-3B41-41E2-9EAB-622AC12A72B5}">
    <filterColumn colId="16">
      <filters>
        <filter val="Late"/>
      </filters>
    </filterColumn>
    <filterColumn colId="19">
      <customFilters>
        <customFilter operator="notEqual" val=" "/>
      </customFilters>
    </filterColumn>
  </autoFilter>
  <mergeCells count="7">
    <mergeCell ref="A1:T1"/>
    <mergeCell ref="U1:AF1"/>
    <mergeCell ref="AW1:AZ1"/>
    <mergeCell ref="AG1:AJ1"/>
    <mergeCell ref="AK1:AN1"/>
    <mergeCell ref="AO1:AR1"/>
    <mergeCell ref="AS1:AV1"/>
  </mergeCells>
  <phoneticPr fontId="7" type="noConversion"/>
  <conditionalFormatting sqref="J24">
    <cfRule type="containsText" dxfId="16" priority="8" operator="containsText" text="NA">
      <formula>NOT(ISERROR(SEARCH("NA",J24)))</formula>
    </cfRule>
    <cfRule type="containsText" dxfId="15" priority="11" operator="containsText" text="Done">
      <formula>NOT(ISERROR(SEARCH("Done",J24)))</formula>
    </cfRule>
  </conditionalFormatting>
  <conditionalFormatting sqref="K3:M56">
    <cfRule type="containsText" dxfId="14" priority="13" operator="containsText" text="No">
      <formula>NOT(ISERROR(SEARCH("No",K3)))</formula>
    </cfRule>
    <cfRule type="containsText" dxfId="13" priority="15" operator="containsText" text="Yes">
      <formula>NOT(ISERROR(SEARCH("Yes",K3)))</formula>
    </cfRule>
  </conditionalFormatting>
  <conditionalFormatting sqref="N2:N1048576">
    <cfRule type="containsText" dxfId="12" priority="12" operator="containsText" text="NA">
      <formula>NOT(ISERROR(SEARCH("NA",N2)))</formula>
    </cfRule>
  </conditionalFormatting>
  <conditionalFormatting sqref="N3:N56">
    <cfRule type="containsText" dxfId="11" priority="2" operator="containsText" text="Late">
      <formula>NOT(ISERROR(SEARCH("Late",N3)))</formula>
    </cfRule>
    <cfRule type="containsText" dxfId="10" priority="16" operator="containsText" text="Done">
      <formula>NOT(ISERROR(SEARCH("Done",N3)))</formula>
    </cfRule>
  </conditionalFormatting>
  <conditionalFormatting sqref="Q2:Q1048576">
    <cfRule type="containsText" dxfId="9" priority="14" operator="containsText" text="Done">
      <formula>NOT(ISERROR(SEARCH("Done",Q2)))</formula>
    </cfRule>
  </conditionalFormatting>
  <conditionalFormatting sqref="Q3:Q56">
    <cfRule type="containsText" dxfId="8" priority="3" operator="containsText" text="Late">
      <formula>NOT(ISERROR(SEARCH("Late",Q3)))</formula>
    </cfRule>
    <cfRule type="containsText" dxfId="7" priority="4" operator="containsText" text="On progress">
      <formula>NOT(ISERROR(SEARCH("On progress",Q3)))</formula>
    </cfRule>
  </conditionalFormatting>
  <conditionalFormatting sqref="U3:AF56">
    <cfRule type="containsText" dxfId="6" priority="1" operator="containsText" text="4">
      <formula>NOT(ISERROR(SEARCH("4",U3)))</formula>
    </cfRule>
    <cfRule type="containsText" dxfId="5" priority="5" operator="containsText" text="2">
      <formula>NOT(ISERROR(SEARCH("2",U3)))</formula>
    </cfRule>
    <cfRule type="containsText" dxfId="4" priority="6" operator="containsText" text="1">
      <formula>NOT(ISERROR(SEARCH("1",U3)))</formula>
    </cfRule>
    <cfRule type="containsText" dxfId="3" priority="7" operator="containsText" text="NA">
      <formula>NOT(ISERROR(SEARCH("NA",U3)))</formula>
    </cfRule>
  </conditionalFormatting>
  <dataValidations count="3">
    <dataValidation type="list" allowBlank="1" showInputMessage="1" showErrorMessage="1" sqref="J24 N57:N1048576" xr:uid="{44A98DB6-0E31-44F5-BC96-F08CE2E0F22A}">
      <formula1>"Done,NA"</formula1>
    </dataValidation>
    <dataValidation type="list" allowBlank="1" showInputMessage="1" showErrorMessage="1" sqref="K3:M56" xr:uid="{E107894C-83E3-4A69-A205-6162C4FBB762}">
      <formula1>"Yes,No"</formula1>
    </dataValidation>
    <dataValidation type="list" allowBlank="1" showInputMessage="1" showErrorMessage="1" sqref="N3:N56" xr:uid="{7F3A52A2-66B4-4302-BC36-A06440CC7562}">
      <formula1>"Done,NA,Late"</formula1>
    </dataValidation>
  </dataValidations>
  <printOptions horizontalCentered="1"/>
  <pageMargins left="0" right="0" top="0.74803149606299213" bottom="0.74803149606299213" header="0.31496062992125984" footer="0.31496062992125984"/>
  <pageSetup paperSize="9" scale="72"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7CD2-EB30-4914-9556-696D5AB890E1}">
  <dimension ref="A1:I78"/>
  <sheetViews>
    <sheetView showGridLines="0" tabSelected="1" zoomScaleNormal="100" workbookViewId="0">
      <pane ySplit="2" topLeftCell="A72" activePane="bottomLeft" state="frozen"/>
      <selection pane="bottomLeft" activeCell="K81" sqref="K81"/>
    </sheetView>
  </sheetViews>
  <sheetFormatPr defaultColWidth="9.140625" defaultRowHeight="15" x14ac:dyDescent="0.25"/>
  <cols>
    <col min="1" max="1" width="5.5703125" style="148" bestFit="1" customWidth="1"/>
    <col min="2" max="2" width="13.85546875" style="85" customWidth="1"/>
    <col min="3" max="3" width="28.7109375" style="144" customWidth="1"/>
    <col min="4" max="4" width="45.28515625" style="152" customWidth="1"/>
    <col min="5" max="5" width="12.5703125" style="85" customWidth="1"/>
    <col min="6" max="6" width="42" style="152" customWidth="1"/>
    <col min="7" max="7" width="11.5703125" style="144" customWidth="1"/>
    <col min="8" max="8" width="13.140625" style="85" bestFit="1" customWidth="1"/>
    <col min="9" max="9" width="23" style="85" customWidth="1"/>
    <col min="10" max="16384" width="9.140625" style="81"/>
  </cols>
  <sheetData>
    <row r="1" spans="1:9" ht="22.5" x14ac:dyDescent="0.25">
      <c r="A1" s="267" t="s">
        <v>262</v>
      </c>
      <c r="B1" s="268"/>
      <c r="C1" s="268"/>
      <c r="D1" s="268"/>
      <c r="E1" s="268"/>
      <c r="F1" s="268"/>
      <c r="G1" s="268"/>
      <c r="H1" s="268"/>
      <c r="I1" s="268"/>
    </row>
    <row r="2" spans="1:9" ht="46.5" customHeight="1" x14ac:dyDescent="0.25">
      <c r="A2" s="146" t="s">
        <v>1</v>
      </c>
      <c r="B2" s="103" t="s">
        <v>263</v>
      </c>
      <c r="C2" s="103" t="s">
        <v>264</v>
      </c>
      <c r="D2" s="103" t="s">
        <v>265</v>
      </c>
      <c r="E2" s="82" t="s">
        <v>266</v>
      </c>
      <c r="F2" s="103" t="s">
        <v>267</v>
      </c>
      <c r="G2" s="103" t="s">
        <v>268</v>
      </c>
      <c r="H2" s="82" t="s">
        <v>269</v>
      </c>
      <c r="I2" s="103" t="s">
        <v>270</v>
      </c>
    </row>
    <row r="3" spans="1:9" ht="46.5" hidden="1" customHeight="1" x14ac:dyDescent="0.25">
      <c r="A3" s="83">
        <v>1</v>
      </c>
      <c r="B3" s="84">
        <v>46101</v>
      </c>
      <c r="C3" s="89" t="s">
        <v>137</v>
      </c>
      <c r="D3" s="89" t="s">
        <v>162</v>
      </c>
      <c r="E3" s="90" t="s">
        <v>98</v>
      </c>
      <c r="F3" s="124" t="s">
        <v>271</v>
      </c>
      <c r="G3" s="99" t="s">
        <v>36</v>
      </c>
      <c r="H3" s="83" t="s">
        <v>64</v>
      </c>
      <c r="I3" s="112" t="s">
        <v>272</v>
      </c>
    </row>
    <row r="4" spans="1:9" ht="135" hidden="1" x14ac:dyDescent="0.25">
      <c r="A4" s="83">
        <v>2</v>
      </c>
      <c r="B4" s="84">
        <v>46101</v>
      </c>
      <c r="C4" s="89" t="s">
        <v>57</v>
      </c>
      <c r="D4" s="89" t="s">
        <v>273</v>
      </c>
      <c r="E4" s="90" t="s">
        <v>59</v>
      </c>
      <c r="F4" s="93" t="s">
        <v>274</v>
      </c>
      <c r="G4" s="99" t="s">
        <v>38</v>
      </c>
      <c r="H4" s="83" t="s">
        <v>64</v>
      </c>
      <c r="I4" s="112">
        <v>46023</v>
      </c>
    </row>
    <row r="5" spans="1:9" ht="150" hidden="1" x14ac:dyDescent="0.25">
      <c r="A5" s="83">
        <v>3</v>
      </c>
      <c r="B5" s="131">
        <v>46101</v>
      </c>
      <c r="C5" s="89" t="s">
        <v>275</v>
      </c>
      <c r="D5" s="89" t="s">
        <v>276</v>
      </c>
      <c r="E5" s="90" t="s">
        <v>89</v>
      </c>
      <c r="F5" s="93" t="s">
        <v>277</v>
      </c>
      <c r="G5" s="99" t="s">
        <v>38</v>
      </c>
      <c r="H5" s="83" t="s">
        <v>74</v>
      </c>
      <c r="I5" s="83"/>
    </row>
    <row r="6" spans="1:9" ht="154.5" hidden="1" customHeight="1" x14ac:dyDescent="0.25">
      <c r="A6" s="83">
        <v>4</v>
      </c>
      <c r="B6" s="131">
        <v>46101</v>
      </c>
      <c r="C6" s="92" t="s">
        <v>129</v>
      </c>
      <c r="D6" s="89" t="s">
        <v>278</v>
      </c>
      <c r="E6" s="90" t="s">
        <v>89</v>
      </c>
      <c r="F6" s="265" t="s">
        <v>279</v>
      </c>
      <c r="G6" s="99" t="s">
        <v>38</v>
      </c>
      <c r="H6" s="83" t="s">
        <v>74</v>
      </c>
      <c r="I6" s="83"/>
    </row>
    <row r="7" spans="1:9" ht="45" hidden="1" x14ac:dyDescent="0.25">
      <c r="A7" s="83">
        <v>5</v>
      </c>
      <c r="B7" s="131">
        <v>46101</v>
      </c>
      <c r="C7" s="109" t="s">
        <v>129</v>
      </c>
      <c r="D7" s="86" t="s">
        <v>280</v>
      </c>
      <c r="E7" s="87" t="s">
        <v>98</v>
      </c>
      <c r="F7" s="266"/>
      <c r="G7" s="110" t="s">
        <v>38</v>
      </c>
      <c r="H7" s="108" t="s">
        <v>74</v>
      </c>
      <c r="I7" s="83"/>
    </row>
    <row r="8" spans="1:9" ht="149.25" hidden="1" x14ac:dyDescent="0.25">
      <c r="A8" s="83">
        <v>6</v>
      </c>
      <c r="B8" s="84">
        <v>46101</v>
      </c>
      <c r="C8" s="89" t="s">
        <v>281</v>
      </c>
      <c r="D8" s="89" t="s">
        <v>282</v>
      </c>
      <c r="E8" s="90" t="s">
        <v>80</v>
      </c>
      <c r="F8" s="93" t="s">
        <v>283</v>
      </c>
      <c r="G8" s="99" t="s">
        <v>41</v>
      </c>
      <c r="H8" s="83" t="s">
        <v>64</v>
      </c>
      <c r="I8" s="98" t="s">
        <v>347</v>
      </c>
    </row>
    <row r="9" spans="1:9" ht="179.25" hidden="1" x14ac:dyDescent="0.25">
      <c r="A9" s="83">
        <v>7</v>
      </c>
      <c r="B9" s="105">
        <v>46101</v>
      </c>
      <c r="C9" s="88" t="s">
        <v>122</v>
      </c>
      <c r="D9" s="88" t="s">
        <v>284</v>
      </c>
      <c r="E9" s="106" t="s">
        <v>80</v>
      </c>
      <c r="F9" s="95" t="s">
        <v>285</v>
      </c>
      <c r="G9" s="107" t="s">
        <v>41</v>
      </c>
      <c r="H9" s="104" t="s">
        <v>64</v>
      </c>
      <c r="I9" s="98" t="s">
        <v>347</v>
      </c>
    </row>
    <row r="10" spans="1:9" ht="75.75" hidden="1" customHeight="1" x14ac:dyDescent="0.25">
      <c r="A10" s="83">
        <v>8</v>
      </c>
      <c r="B10" s="131">
        <v>46101</v>
      </c>
      <c r="C10" s="92" t="s">
        <v>118</v>
      </c>
      <c r="D10" s="89" t="s">
        <v>286</v>
      </c>
      <c r="E10" s="90" t="s">
        <v>89</v>
      </c>
      <c r="F10" s="265" t="s">
        <v>287</v>
      </c>
      <c r="G10" s="99" t="s">
        <v>38</v>
      </c>
      <c r="H10" s="83" t="s">
        <v>74</v>
      </c>
      <c r="I10" s="83"/>
    </row>
    <row r="11" spans="1:9" ht="27" hidden="1" customHeight="1" x14ac:dyDescent="0.25">
      <c r="A11" s="83">
        <v>9</v>
      </c>
      <c r="B11" s="131">
        <v>46101</v>
      </c>
      <c r="C11" s="109" t="s">
        <v>118</v>
      </c>
      <c r="D11" s="86" t="s">
        <v>119</v>
      </c>
      <c r="E11" s="87" t="s">
        <v>114</v>
      </c>
      <c r="F11" s="266"/>
      <c r="G11" s="110" t="s">
        <v>38</v>
      </c>
      <c r="H11" s="108" t="s">
        <v>74</v>
      </c>
      <c r="I11" s="98"/>
    </row>
    <row r="12" spans="1:9" ht="27" hidden="1" customHeight="1" x14ac:dyDescent="0.25">
      <c r="A12" s="83">
        <v>10</v>
      </c>
      <c r="B12" s="84">
        <v>46101</v>
      </c>
      <c r="C12" s="92" t="s">
        <v>118</v>
      </c>
      <c r="D12" s="89" t="s">
        <v>127</v>
      </c>
      <c r="E12" s="90" t="s">
        <v>98</v>
      </c>
      <c r="F12" s="265"/>
      <c r="G12" s="99" t="s">
        <v>38</v>
      </c>
      <c r="H12" s="83" t="s">
        <v>74</v>
      </c>
      <c r="I12" s="83"/>
    </row>
    <row r="13" spans="1:9" ht="30" hidden="1" x14ac:dyDescent="0.25">
      <c r="A13" s="83">
        <v>11</v>
      </c>
      <c r="B13" s="105">
        <v>46101</v>
      </c>
      <c r="C13" s="88" t="s">
        <v>144</v>
      </c>
      <c r="D13" s="88" t="s">
        <v>288</v>
      </c>
      <c r="E13" s="106" t="s">
        <v>114</v>
      </c>
      <c r="F13" s="95" t="s">
        <v>289</v>
      </c>
      <c r="G13" s="107" t="s">
        <v>38</v>
      </c>
      <c r="H13" s="104" t="s">
        <v>64</v>
      </c>
      <c r="I13" s="83" t="s">
        <v>41</v>
      </c>
    </row>
    <row r="14" spans="1:9" ht="45.75" hidden="1" customHeight="1" x14ac:dyDescent="0.25">
      <c r="A14" s="83">
        <v>12</v>
      </c>
      <c r="B14" s="84">
        <v>46101</v>
      </c>
      <c r="C14" s="92" t="s">
        <v>147</v>
      </c>
      <c r="D14" s="89" t="s">
        <v>290</v>
      </c>
      <c r="E14" s="90" t="s">
        <v>61</v>
      </c>
      <c r="F14" s="93" t="s">
        <v>291</v>
      </c>
      <c r="G14" s="99" t="s">
        <v>38</v>
      </c>
      <c r="H14" s="83" t="s">
        <v>64</v>
      </c>
      <c r="I14" s="112">
        <v>46023</v>
      </c>
    </row>
    <row r="15" spans="1:9" ht="60" hidden="1" x14ac:dyDescent="0.25">
      <c r="A15" s="83">
        <v>13</v>
      </c>
      <c r="B15" s="131">
        <v>46101</v>
      </c>
      <c r="C15" s="109" t="s">
        <v>147</v>
      </c>
      <c r="D15" s="86" t="s">
        <v>292</v>
      </c>
      <c r="E15" s="87" t="s">
        <v>168</v>
      </c>
      <c r="F15" s="111" t="s">
        <v>293</v>
      </c>
      <c r="G15" s="110" t="s">
        <v>38</v>
      </c>
      <c r="H15" s="108" t="s">
        <v>74</v>
      </c>
      <c r="I15" s="98"/>
    </row>
    <row r="16" spans="1:9" hidden="1" x14ac:dyDescent="0.25">
      <c r="A16" s="83">
        <v>14</v>
      </c>
      <c r="B16" s="131">
        <v>46101</v>
      </c>
      <c r="C16" s="89" t="s">
        <v>133</v>
      </c>
      <c r="D16" s="89" t="s">
        <v>134</v>
      </c>
      <c r="E16" s="90" t="s">
        <v>98</v>
      </c>
      <c r="F16" s="151" t="s">
        <v>294</v>
      </c>
      <c r="G16" s="99" t="s">
        <v>38</v>
      </c>
      <c r="H16" s="83" t="s">
        <v>74</v>
      </c>
      <c r="I16" s="83"/>
    </row>
    <row r="17" spans="1:9" ht="45" hidden="1" x14ac:dyDescent="0.25">
      <c r="A17" s="83">
        <v>15</v>
      </c>
      <c r="B17" s="131">
        <v>46101</v>
      </c>
      <c r="C17" s="89" t="s">
        <v>164</v>
      </c>
      <c r="D17" s="89" t="s">
        <v>295</v>
      </c>
      <c r="E17" s="90" t="s">
        <v>98</v>
      </c>
      <c r="F17" s="93" t="s">
        <v>293</v>
      </c>
      <c r="G17" s="99" t="s">
        <v>38</v>
      </c>
      <c r="H17" s="83" t="s">
        <v>64</v>
      </c>
      <c r="I17" s="83"/>
    </row>
    <row r="18" spans="1:9" ht="45" hidden="1" x14ac:dyDescent="0.25">
      <c r="A18" s="83">
        <v>16</v>
      </c>
      <c r="B18" s="84">
        <v>46101</v>
      </c>
      <c r="C18" s="92" t="s">
        <v>190</v>
      </c>
      <c r="D18" s="93" t="s">
        <v>296</v>
      </c>
      <c r="E18" s="90" t="s">
        <v>98</v>
      </c>
      <c r="F18" s="93" t="s">
        <v>297</v>
      </c>
      <c r="G18" s="99" t="s">
        <v>38</v>
      </c>
      <c r="H18" s="83" t="s">
        <v>64</v>
      </c>
      <c r="I18" s="113">
        <v>46109</v>
      </c>
    </row>
    <row r="19" spans="1:9" ht="45" hidden="1" x14ac:dyDescent="0.25">
      <c r="A19" s="83">
        <v>17</v>
      </c>
      <c r="B19" s="84">
        <v>46101</v>
      </c>
      <c r="C19" s="92" t="s">
        <v>190</v>
      </c>
      <c r="D19" s="93" t="s">
        <v>298</v>
      </c>
      <c r="E19" s="90" t="s">
        <v>98</v>
      </c>
      <c r="F19" s="93" t="s">
        <v>299</v>
      </c>
      <c r="G19" s="99" t="s">
        <v>38</v>
      </c>
      <c r="H19" s="83" t="s">
        <v>64</v>
      </c>
      <c r="I19" s="113">
        <v>46109</v>
      </c>
    </row>
    <row r="20" spans="1:9" ht="45" hidden="1" x14ac:dyDescent="0.25">
      <c r="A20" s="83">
        <v>18</v>
      </c>
      <c r="B20" s="131">
        <v>46101</v>
      </c>
      <c r="C20" s="92" t="s">
        <v>166</v>
      </c>
      <c r="D20" s="89" t="s">
        <v>300</v>
      </c>
      <c r="E20" s="90" t="s">
        <v>154</v>
      </c>
      <c r="F20" s="93" t="s">
        <v>293</v>
      </c>
      <c r="G20" s="99" t="s">
        <v>38</v>
      </c>
      <c r="H20" s="83" t="s">
        <v>74</v>
      </c>
      <c r="I20" s="98"/>
    </row>
    <row r="21" spans="1:9" ht="45" hidden="1" x14ac:dyDescent="0.25">
      <c r="A21" s="83">
        <v>19</v>
      </c>
      <c r="B21" s="84">
        <v>46101</v>
      </c>
      <c r="C21" s="89" t="s">
        <v>155</v>
      </c>
      <c r="D21" s="94" t="s">
        <v>156</v>
      </c>
      <c r="E21" s="90" t="s">
        <v>98</v>
      </c>
      <c r="F21" s="93" t="s">
        <v>293</v>
      </c>
      <c r="G21" s="99" t="s">
        <v>38</v>
      </c>
      <c r="H21" s="83" t="s">
        <v>74</v>
      </c>
      <c r="I21" s="83"/>
    </row>
    <row r="22" spans="1:9" ht="60" hidden="1" x14ac:dyDescent="0.25">
      <c r="A22" s="83">
        <v>20</v>
      </c>
      <c r="B22" s="131">
        <v>46101</v>
      </c>
      <c r="C22" s="92" t="s">
        <v>171</v>
      </c>
      <c r="D22" s="89" t="s">
        <v>301</v>
      </c>
      <c r="E22" s="90" t="s">
        <v>98</v>
      </c>
      <c r="F22" s="93" t="s">
        <v>302</v>
      </c>
      <c r="G22" s="99" t="s">
        <v>38</v>
      </c>
      <c r="H22" s="83" t="s">
        <v>74</v>
      </c>
      <c r="I22" s="83"/>
    </row>
    <row r="23" spans="1:9" ht="135" hidden="1" x14ac:dyDescent="0.25">
      <c r="A23" s="83">
        <v>21</v>
      </c>
      <c r="B23" s="84">
        <v>46101</v>
      </c>
      <c r="C23" s="89" t="s">
        <v>303</v>
      </c>
      <c r="D23" s="89" t="s">
        <v>304</v>
      </c>
      <c r="E23" s="90" t="s">
        <v>219</v>
      </c>
      <c r="F23" s="93" t="s">
        <v>305</v>
      </c>
      <c r="G23" s="99" t="s">
        <v>38</v>
      </c>
      <c r="H23" s="83" t="s">
        <v>74</v>
      </c>
      <c r="I23" s="98"/>
    </row>
    <row r="24" spans="1:9" ht="90" hidden="1" x14ac:dyDescent="0.25">
      <c r="A24" s="83">
        <v>22</v>
      </c>
      <c r="B24" s="84">
        <v>46101</v>
      </c>
      <c r="C24" s="89" t="s">
        <v>306</v>
      </c>
      <c r="D24" s="89" t="s">
        <v>307</v>
      </c>
      <c r="E24" s="90" t="s">
        <v>186</v>
      </c>
      <c r="F24" s="93" t="s">
        <v>305</v>
      </c>
      <c r="G24" s="99" t="s">
        <v>38</v>
      </c>
      <c r="H24" s="83" t="s">
        <v>74</v>
      </c>
      <c r="I24" s="98"/>
    </row>
    <row r="25" spans="1:9" ht="45" hidden="1" x14ac:dyDescent="0.25">
      <c r="A25" s="83">
        <v>23</v>
      </c>
      <c r="B25" s="84">
        <v>46101</v>
      </c>
      <c r="C25" s="89" t="s">
        <v>253</v>
      </c>
      <c r="D25" s="89" t="s">
        <v>308</v>
      </c>
      <c r="E25" s="90" t="s">
        <v>255</v>
      </c>
      <c r="F25" s="93" t="s">
        <v>309</v>
      </c>
      <c r="G25" s="99" t="s">
        <v>38</v>
      </c>
      <c r="H25" s="83" t="s">
        <v>64</v>
      </c>
      <c r="I25" s="83" t="s">
        <v>310</v>
      </c>
    </row>
    <row r="26" spans="1:9" ht="30" hidden="1" x14ac:dyDescent="0.25">
      <c r="A26" s="83">
        <v>24</v>
      </c>
      <c r="B26" s="84">
        <v>46101</v>
      </c>
      <c r="C26" s="89" t="s">
        <v>190</v>
      </c>
      <c r="D26" s="89" t="s">
        <v>216</v>
      </c>
      <c r="E26" s="106" t="s">
        <v>98</v>
      </c>
      <c r="F26" s="95" t="s">
        <v>311</v>
      </c>
      <c r="G26" s="99" t="s">
        <v>38</v>
      </c>
      <c r="H26" s="104" t="s">
        <v>64</v>
      </c>
      <c r="I26" s="83" t="s">
        <v>310</v>
      </c>
    </row>
    <row r="27" spans="1:9" ht="45" hidden="1" x14ac:dyDescent="0.25">
      <c r="A27" s="83">
        <v>25</v>
      </c>
      <c r="B27" s="132">
        <v>46134</v>
      </c>
      <c r="C27" s="91" t="s">
        <v>129</v>
      </c>
      <c r="D27" s="88" t="s">
        <v>113</v>
      </c>
      <c r="E27" s="106" t="s">
        <v>114</v>
      </c>
      <c r="F27" s="95" t="s">
        <v>312</v>
      </c>
      <c r="G27" s="107" t="s">
        <v>39</v>
      </c>
      <c r="H27" s="104" t="s">
        <v>74</v>
      </c>
      <c r="I27" s="98"/>
    </row>
    <row r="28" spans="1:9" ht="75" hidden="1" x14ac:dyDescent="0.25">
      <c r="A28" s="83">
        <v>26</v>
      </c>
      <c r="B28" s="105">
        <v>46134</v>
      </c>
      <c r="C28" s="92" t="s">
        <v>313</v>
      </c>
      <c r="D28" s="89" t="s">
        <v>314</v>
      </c>
      <c r="E28" s="90" t="s">
        <v>70</v>
      </c>
      <c r="F28" s="93" t="s">
        <v>315</v>
      </c>
      <c r="G28" s="99" t="s">
        <v>39</v>
      </c>
      <c r="H28" s="83" t="s">
        <v>64</v>
      </c>
      <c r="I28" s="83" t="s">
        <v>316</v>
      </c>
    </row>
    <row r="29" spans="1:9" ht="30" hidden="1" x14ac:dyDescent="0.25">
      <c r="A29" s="83">
        <v>27</v>
      </c>
      <c r="B29" s="132">
        <v>46134</v>
      </c>
      <c r="C29" s="109" t="s">
        <v>313</v>
      </c>
      <c r="D29" s="86" t="s">
        <v>317</v>
      </c>
      <c r="E29" s="87" t="s">
        <v>168</v>
      </c>
      <c r="F29" s="111" t="s">
        <v>318</v>
      </c>
      <c r="G29" s="110" t="s">
        <v>39</v>
      </c>
      <c r="H29" s="108" t="s">
        <v>74</v>
      </c>
      <c r="I29" s="98"/>
    </row>
    <row r="30" spans="1:9" ht="30" hidden="1" x14ac:dyDescent="0.25">
      <c r="A30" s="83">
        <v>28</v>
      </c>
      <c r="B30" s="105">
        <v>46134</v>
      </c>
      <c r="C30" s="92" t="s">
        <v>166</v>
      </c>
      <c r="D30" s="89" t="s">
        <v>319</v>
      </c>
      <c r="E30" s="90" t="s">
        <v>168</v>
      </c>
      <c r="F30" s="93" t="s">
        <v>320</v>
      </c>
      <c r="G30" s="99" t="s">
        <v>39</v>
      </c>
      <c r="H30" s="83" t="s">
        <v>64</v>
      </c>
      <c r="I30" s="83" t="s">
        <v>316</v>
      </c>
    </row>
    <row r="31" spans="1:9" ht="90" hidden="1" x14ac:dyDescent="0.25">
      <c r="A31" s="83">
        <v>29</v>
      </c>
      <c r="B31" s="105">
        <v>46134</v>
      </c>
      <c r="C31" s="88" t="s">
        <v>247</v>
      </c>
      <c r="D31" s="88" t="s">
        <v>321</v>
      </c>
      <c r="E31" s="106" t="s">
        <v>236</v>
      </c>
      <c r="F31" s="95" t="s">
        <v>322</v>
      </c>
      <c r="G31" s="107" t="s">
        <v>39</v>
      </c>
      <c r="H31" s="104" t="s">
        <v>74</v>
      </c>
      <c r="I31" s="98"/>
    </row>
    <row r="32" spans="1:9" ht="45" hidden="1" x14ac:dyDescent="0.25">
      <c r="A32" s="83">
        <v>30</v>
      </c>
      <c r="B32" s="84">
        <v>46134</v>
      </c>
      <c r="C32" s="93" t="s">
        <v>171</v>
      </c>
      <c r="D32" s="89" t="s">
        <v>323</v>
      </c>
      <c r="E32" s="89" t="s">
        <v>98</v>
      </c>
      <c r="F32" s="89" t="s">
        <v>324</v>
      </c>
      <c r="G32" s="99" t="s">
        <v>39</v>
      </c>
      <c r="H32" s="83" t="s">
        <v>74</v>
      </c>
      <c r="I32" s="89"/>
    </row>
    <row r="33" spans="1:9" ht="180" hidden="1" x14ac:dyDescent="0.25">
      <c r="A33" s="83">
        <v>31</v>
      </c>
      <c r="B33" s="129">
        <v>46157</v>
      </c>
      <c r="C33" s="89" t="s">
        <v>258</v>
      </c>
      <c r="D33" s="89" t="s">
        <v>259</v>
      </c>
      <c r="E33" s="89" t="s">
        <v>178</v>
      </c>
      <c r="F33" s="89" t="s">
        <v>325</v>
      </c>
      <c r="G33" s="130" t="s">
        <v>40</v>
      </c>
      <c r="H33" s="89"/>
      <c r="I33" s="89"/>
    </row>
    <row r="34" spans="1:9" ht="120" hidden="1" x14ac:dyDescent="0.25">
      <c r="A34" s="83">
        <v>32</v>
      </c>
      <c r="B34" s="131">
        <v>46157</v>
      </c>
      <c r="C34" s="89" t="s">
        <v>275</v>
      </c>
      <c r="D34" s="89" t="s">
        <v>276</v>
      </c>
      <c r="E34" s="90" t="s">
        <v>89</v>
      </c>
      <c r="F34" s="93" t="s">
        <v>326</v>
      </c>
      <c r="G34" s="99"/>
      <c r="H34" s="83"/>
      <c r="I34" s="83"/>
    </row>
    <row r="35" spans="1:9" ht="105" hidden="1" x14ac:dyDescent="0.25">
      <c r="A35" s="83">
        <v>33</v>
      </c>
      <c r="B35" s="131">
        <v>46157</v>
      </c>
      <c r="C35" s="92" t="s">
        <v>129</v>
      </c>
      <c r="D35" s="89" t="s">
        <v>278</v>
      </c>
      <c r="E35" s="90" t="s">
        <v>89</v>
      </c>
      <c r="F35" s="93" t="s">
        <v>327</v>
      </c>
      <c r="G35" s="99"/>
      <c r="H35" s="83"/>
      <c r="I35" s="83"/>
    </row>
    <row r="36" spans="1:9" ht="45" hidden="1" x14ac:dyDescent="0.25">
      <c r="A36" s="83">
        <v>34</v>
      </c>
      <c r="B36" s="131">
        <v>46157</v>
      </c>
      <c r="C36" s="92" t="s">
        <v>118</v>
      </c>
      <c r="D36" s="89" t="s">
        <v>286</v>
      </c>
      <c r="E36" s="90" t="s">
        <v>89</v>
      </c>
      <c r="F36" s="93" t="s">
        <v>328</v>
      </c>
      <c r="G36" s="99"/>
      <c r="H36" s="83"/>
      <c r="I36" s="83"/>
    </row>
    <row r="37" spans="1:9" ht="60" hidden="1" x14ac:dyDescent="0.25">
      <c r="A37" s="83">
        <v>35</v>
      </c>
      <c r="B37" s="131">
        <v>46157</v>
      </c>
      <c r="C37" s="92" t="s">
        <v>118</v>
      </c>
      <c r="D37" s="89" t="s">
        <v>119</v>
      </c>
      <c r="E37" s="90" t="s">
        <v>114</v>
      </c>
      <c r="F37" s="93" t="s">
        <v>329</v>
      </c>
      <c r="G37" s="99"/>
      <c r="H37" s="83"/>
      <c r="I37" s="83"/>
    </row>
    <row r="38" spans="1:9" ht="90" hidden="1" x14ac:dyDescent="0.25">
      <c r="A38" s="83">
        <v>36</v>
      </c>
      <c r="B38" s="131">
        <v>46157</v>
      </c>
      <c r="C38" s="92" t="s">
        <v>129</v>
      </c>
      <c r="D38" s="89" t="s">
        <v>113</v>
      </c>
      <c r="E38" s="90" t="s">
        <v>114</v>
      </c>
      <c r="F38" s="93" t="s">
        <v>330</v>
      </c>
      <c r="G38" s="99"/>
      <c r="H38" s="83"/>
      <c r="I38" s="83"/>
    </row>
    <row r="39" spans="1:9" ht="45" hidden="1" x14ac:dyDescent="0.25">
      <c r="A39" s="83">
        <v>37</v>
      </c>
      <c r="B39" s="133">
        <v>46157</v>
      </c>
      <c r="C39" s="109" t="s">
        <v>129</v>
      </c>
      <c r="D39" s="86" t="s">
        <v>280</v>
      </c>
      <c r="E39" s="87" t="s">
        <v>98</v>
      </c>
      <c r="F39" s="93" t="s">
        <v>331</v>
      </c>
      <c r="G39" s="99"/>
      <c r="H39" s="83"/>
      <c r="I39" s="83"/>
    </row>
    <row r="40" spans="1:9" ht="30" hidden="1" x14ac:dyDescent="0.25">
      <c r="A40" s="83">
        <v>38</v>
      </c>
      <c r="B40" s="131">
        <v>46157</v>
      </c>
      <c r="C40" s="89" t="s">
        <v>133</v>
      </c>
      <c r="D40" s="89" t="s">
        <v>134</v>
      </c>
      <c r="E40" s="90" t="s">
        <v>98</v>
      </c>
      <c r="F40" s="93" t="s">
        <v>332</v>
      </c>
      <c r="G40" s="99"/>
      <c r="H40" s="83"/>
      <c r="I40" s="83"/>
    </row>
    <row r="41" spans="1:9" ht="45" hidden="1" x14ac:dyDescent="0.25">
      <c r="A41" s="83">
        <v>39</v>
      </c>
      <c r="B41" s="131">
        <v>46157</v>
      </c>
      <c r="C41" s="89" t="s">
        <v>164</v>
      </c>
      <c r="D41" s="89" t="s">
        <v>295</v>
      </c>
      <c r="E41" s="90" t="s">
        <v>98</v>
      </c>
      <c r="F41" s="93" t="s">
        <v>333</v>
      </c>
      <c r="G41" s="99" t="s">
        <v>38</v>
      </c>
      <c r="H41" s="83" t="s">
        <v>64</v>
      </c>
      <c r="I41" s="83" t="s">
        <v>41</v>
      </c>
    </row>
    <row r="42" spans="1:9" ht="60" hidden="1" x14ac:dyDescent="0.25">
      <c r="A42" s="83">
        <v>40</v>
      </c>
      <c r="B42" s="131">
        <v>46157</v>
      </c>
      <c r="C42" s="92" t="s">
        <v>171</v>
      </c>
      <c r="D42" s="89" t="s">
        <v>301</v>
      </c>
      <c r="E42" s="90" t="s">
        <v>98</v>
      </c>
      <c r="F42" s="93" t="s">
        <v>334</v>
      </c>
      <c r="G42" s="99"/>
      <c r="H42" s="83"/>
      <c r="I42" s="83"/>
    </row>
    <row r="43" spans="1:9" ht="30" hidden="1" x14ac:dyDescent="0.25">
      <c r="A43" s="83">
        <v>41</v>
      </c>
      <c r="B43" s="131">
        <v>46157</v>
      </c>
      <c r="C43" s="92" t="s">
        <v>166</v>
      </c>
      <c r="D43" s="89" t="s">
        <v>300</v>
      </c>
      <c r="E43" s="90" t="s">
        <v>154</v>
      </c>
      <c r="F43" s="93" t="s">
        <v>335</v>
      </c>
      <c r="G43" s="99"/>
      <c r="H43" s="83"/>
      <c r="I43" s="83"/>
    </row>
    <row r="44" spans="1:9" ht="30" hidden="1" x14ac:dyDescent="0.25">
      <c r="A44" s="83">
        <v>42</v>
      </c>
      <c r="B44" s="131">
        <v>46157</v>
      </c>
      <c r="C44" s="109" t="s">
        <v>313</v>
      </c>
      <c r="D44" s="86" t="s">
        <v>317</v>
      </c>
      <c r="E44" s="87" t="s">
        <v>168</v>
      </c>
      <c r="F44" s="93" t="s">
        <v>336</v>
      </c>
      <c r="G44" s="99"/>
      <c r="H44" s="83"/>
      <c r="I44" s="83"/>
    </row>
    <row r="45" spans="1:9" ht="60" hidden="1" x14ac:dyDescent="0.25">
      <c r="A45" s="83">
        <v>43</v>
      </c>
      <c r="B45" s="131">
        <v>46157</v>
      </c>
      <c r="C45" s="109" t="s">
        <v>147</v>
      </c>
      <c r="D45" s="86" t="s">
        <v>292</v>
      </c>
      <c r="E45" s="87" t="s">
        <v>168</v>
      </c>
      <c r="F45" s="93" t="s">
        <v>337</v>
      </c>
      <c r="G45" s="99"/>
      <c r="H45" s="83"/>
      <c r="I45" s="83"/>
    </row>
    <row r="46" spans="1:9" ht="45" hidden="1" x14ac:dyDescent="0.25">
      <c r="A46" s="147">
        <v>44</v>
      </c>
      <c r="B46" s="84">
        <v>46192</v>
      </c>
      <c r="C46" s="99" t="s">
        <v>211</v>
      </c>
      <c r="D46" s="93" t="s">
        <v>338</v>
      </c>
      <c r="E46" s="83" t="s">
        <v>212</v>
      </c>
      <c r="F46" s="93" t="s">
        <v>339</v>
      </c>
      <c r="G46" s="99" t="s">
        <v>41</v>
      </c>
      <c r="H46" s="83" t="s">
        <v>74</v>
      </c>
      <c r="I46" s="83" t="s">
        <v>340</v>
      </c>
    </row>
    <row r="47" spans="1:9" ht="45" hidden="1" x14ac:dyDescent="0.25">
      <c r="A47" s="147">
        <v>45</v>
      </c>
      <c r="B47" s="84">
        <v>46192</v>
      </c>
      <c r="C47" s="99" t="s">
        <v>78</v>
      </c>
      <c r="D47" s="93" t="s">
        <v>341</v>
      </c>
      <c r="E47" s="83" t="s">
        <v>342</v>
      </c>
      <c r="F47" s="93" t="s">
        <v>343</v>
      </c>
      <c r="G47" s="99" t="s">
        <v>41</v>
      </c>
      <c r="H47" s="83" t="s">
        <v>64</v>
      </c>
      <c r="I47" s="83" t="s">
        <v>41</v>
      </c>
    </row>
    <row r="48" spans="1:9" ht="45" hidden="1" x14ac:dyDescent="0.25">
      <c r="A48" s="147">
        <v>46</v>
      </c>
      <c r="B48" s="84">
        <v>46192</v>
      </c>
      <c r="C48" s="99" t="s">
        <v>122</v>
      </c>
      <c r="D48" s="93" t="s">
        <v>344</v>
      </c>
      <c r="E48" s="83" t="s">
        <v>342</v>
      </c>
      <c r="F48" s="93" t="s">
        <v>345</v>
      </c>
      <c r="G48" s="99" t="s">
        <v>41</v>
      </c>
      <c r="H48" s="83" t="s">
        <v>346</v>
      </c>
      <c r="I48" s="99" t="s">
        <v>347</v>
      </c>
    </row>
    <row r="49" spans="1:9" hidden="1" x14ac:dyDescent="0.25">
      <c r="A49" s="147">
        <v>47</v>
      </c>
      <c r="B49" s="84">
        <v>46192</v>
      </c>
      <c r="C49" s="99" t="s">
        <v>68</v>
      </c>
      <c r="D49" s="93" t="s">
        <v>348</v>
      </c>
      <c r="E49" s="83" t="s">
        <v>70</v>
      </c>
      <c r="F49" s="93" t="s">
        <v>349</v>
      </c>
      <c r="G49" s="99" t="s">
        <v>41</v>
      </c>
      <c r="H49" s="83" t="s">
        <v>74</v>
      </c>
      <c r="I49" s="83"/>
    </row>
    <row r="50" spans="1:9" hidden="1" x14ac:dyDescent="0.25">
      <c r="A50" s="147">
        <v>48</v>
      </c>
      <c r="B50" s="84">
        <v>46192</v>
      </c>
      <c r="C50" s="99" t="s">
        <v>118</v>
      </c>
      <c r="D50" s="93" t="s">
        <v>127</v>
      </c>
      <c r="E50" s="83" t="s">
        <v>350</v>
      </c>
      <c r="F50" s="93" t="s">
        <v>351</v>
      </c>
      <c r="G50" s="99" t="s">
        <v>41</v>
      </c>
      <c r="H50" s="83" t="s">
        <v>74</v>
      </c>
      <c r="I50" s="83"/>
    </row>
    <row r="51" spans="1:9" ht="30" hidden="1" x14ac:dyDescent="0.25">
      <c r="A51" s="147">
        <v>49</v>
      </c>
      <c r="B51" s="84">
        <v>46192</v>
      </c>
      <c r="C51" s="99" t="s">
        <v>137</v>
      </c>
      <c r="D51" s="93" t="s">
        <v>138</v>
      </c>
      <c r="E51" s="83" t="s">
        <v>350</v>
      </c>
      <c r="F51" s="93" t="s">
        <v>352</v>
      </c>
      <c r="G51" s="99" t="s">
        <v>41</v>
      </c>
      <c r="H51" s="83" t="s">
        <v>74</v>
      </c>
      <c r="I51" s="83"/>
    </row>
    <row r="52" spans="1:9" ht="30" hidden="1" x14ac:dyDescent="0.25">
      <c r="A52" s="147">
        <v>50</v>
      </c>
      <c r="B52" s="84">
        <v>46192</v>
      </c>
      <c r="C52" s="99" t="s">
        <v>137</v>
      </c>
      <c r="D52" s="93" t="s">
        <v>353</v>
      </c>
      <c r="E52" s="83" t="s">
        <v>350</v>
      </c>
      <c r="F52" s="93" t="s">
        <v>354</v>
      </c>
      <c r="G52" s="99" t="s">
        <v>41</v>
      </c>
      <c r="H52" s="83" t="s">
        <v>74</v>
      </c>
      <c r="I52" s="83"/>
    </row>
    <row r="53" spans="1:9" ht="45" hidden="1" x14ac:dyDescent="0.25">
      <c r="A53" s="147">
        <v>51</v>
      </c>
      <c r="B53" s="84">
        <v>46192</v>
      </c>
      <c r="C53" s="99" t="s">
        <v>152</v>
      </c>
      <c r="D53" s="93" t="s">
        <v>153</v>
      </c>
      <c r="E53" s="83" t="s">
        <v>350</v>
      </c>
      <c r="F53" s="93" t="s">
        <v>354</v>
      </c>
      <c r="G53" s="99" t="s">
        <v>41</v>
      </c>
      <c r="H53" s="83" t="s">
        <v>74</v>
      </c>
      <c r="I53" s="83"/>
    </row>
    <row r="54" spans="1:9" ht="30" hidden="1" x14ac:dyDescent="0.25">
      <c r="A54" s="147">
        <v>52</v>
      </c>
      <c r="B54" s="84">
        <v>46192</v>
      </c>
      <c r="C54" s="99" t="s">
        <v>155</v>
      </c>
      <c r="D54" s="93" t="s">
        <v>156</v>
      </c>
      <c r="E54" s="83" t="s">
        <v>350</v>
      </c>
      <c r="F54" s="93" t="s">
        <v>354</v>
      </c>
      <c r="G54" s="99" t="s">
        <v>41</v>
      </c>
      <c r="H54" s="83" t="s">
        <v>74</v>
      </c>
      <c r="I54" s="83"/>
    </row>
    <row r="55" spans="1:9" ht="30" hidden="1" x14ac:dyDescent="0.25">
      <c r="A55" s="147">
        <v>53</v>
      </c>
      <c r="B55" s="84">
        <v>46192</v>
      </c>
      <c r="C55" s="99" t="s">
        <v>137</v>
      </c>
      <c r="D55" s="93" t="s">
        <v>158</v>
      </c>
      <c r="E55" s="83" t="s">
        <v>109</v>
      </c>
      <c r="F55" s="93" t="s">
        <v>355</v>
      </c>
      <c r="G55" s="99" t="s">
        <v>41</v>
      </c>
      <c r="H55" s="83" t="s">
        <v>64</v>
      </c>
      <c r="I55" s="84">
        <v>46133</v>
      </c>
    </row>
    <row r="56" spans="1:9" hidden="1" x14ac:dyDescent="0.25">
      <c r="A56" s="147">
        <v>54</v>
      </c>
      <c r="B56" s="84">
        <v>46192</v>
      </c>
      <c r="C56" s="99" t="s">
        <v>137</v>
      </c>
      <c r="D56" s="93" t="s">
        <v>172</v>
      </c>
      <c r="E56" s="83" t="s">
        <v>109</v>
      </c>
      <c r="F56" s="93"/>
      <c r="G56" s="99" t="s">
        <v>41</v>
      </c>
      <c r="H56" s="83" t="s">
        <v>74</v>
      </c>
      <c r="I56" s="83"/>
    </row>
    <row r="57" spans="1:9" ht="45" hidden="1" x14ac:dyDescent="0.25">
      <c r="A57" s="147">
        <v>55</v>
      </c>
      <c r="B57" s="84">
        <v>46192</v>
      </c>
      <c r="C57" s="99" t="s">
        <v>179</v>
      </c>
      <c r="D57" s="93" t="s">
        <v>180</v>
      </c>
      <c r="E57" s="83" t="s">
        <v>114</v>
      </c>
      <c r="F57" s="93" t="s">
        <v>356</v>
      </c>
      <c r="G57" s="99" t="s">
        <v>41</v>
      </c>
      <c r="H57" s="83" t="s">
        <v>64</v>
      </c>
      <c r="I57" s="83" t="s">
        <v>310</v>
      </c>
    </row>
    <row r="58" spans="1:9" ht="75" hidden="1" x14ac:dyDescent="0.25">
      <c r="A58" s="147">
        <v>1</v>
      </c>
      <c r="B58" s="84">
        <v>46220</v>
      </c>
      <c r="C58" s="99" t="s">
        <v>129</v>
      </c>
      <c r="D58" s="93" t="s">
        <v>397</v>
      </c>
      <c r="E58" s="83" t="s">
        <v>114</v>
      </c>
      <c r="F58" s="93" t="s">
        <v>398</v>
      </c>
      <c r="G58" s="99" t="s">
        <v>384</v>
      </c>
      <c r="H58" s="83" t="s">
        <v>93</v>
      </c>
      <c r="I58" s="83"/>
    </row>
    <row r="59" spans="1:9" ht="90" hidden="1" x14ac:dyDescent="0.25">
      <c r="A59" s="147">
        <v>2</v>
      </c>
      <c r="B59" s="84">
        <v>46220</v>
      </c>
      <c r="C59" s="99" t="s">
        <v>118</v>
      </c>
      <c r="D59" s="93" t="s">
        <v>119</v>
      </c>
      <c r="E59" s="83" t="s">
        <v>114</v>
      </c>
      <c r="F59" s="93" t="s">
        <v>399</v>
      </c>
      <c r="G59" s="99" t="s">
        <v>385</v>
      </c>
      <c r="H59" s="83" t="s">
        <v>93</v>
      </c>
      <c r="I59" s="83"/>
    </row>
    <row r="60" spans="1:9" ht="30" hidden="1" x14ac:dyDescent="0.25">
      <c r="A60" s="147">
        <v>3</v>
      </c>
      <c r="B60" s="84">
        <v>46220</v>
      </c>
      <c r="C60" s="99" t="s">
        <v>118</v>
      </c>
      <c r="D60" s="93" t="s">
        <v>127</v>
      </c>
      <c r="E60" s="83" t="s">
        <v>98</v>
      </c>
      <c r="F60" s="93" t="s">
        <v>351</v>
      </c>
      <c r="G60" s="99" t="s">
        <v>73</v>
      </c>
      <c r="H60" s="83" t="s">
        <v>74</v>
      </c>
      <c r="I60" s="83"/>
    </row>
    <row r="61" spans="1:9" ht="75" hidden="1" x14ac:dyDescent="0.25">
      <c r="A61" s="147">
        <v>4</v>
      </c>
      <c r="B61" s="84">
        <v>46220</v>
      </c>
      <c r="C61" s="99" t="s">
        <v>129</v>
      </c>
      <c r="D61" s="93" t="s">
        <v>389</v>
      </c>
      <c r="E61" s="83" t="s">
        <v>98</v>
      </c>
      <c r="F61" s="153" t="s">
        <v>192</v>
      </c>
      <c r="G61" s="99" t="s">
        <v>382</v>
      </c>
      <c r="H61" s="83" t="s">
        <v>64</v>
      </c>
      <c r="I61" s="99" t="s">
        <v>42</v>
      </c>
    </row>
    <row r="62" spans="1:9" ht="75" hidden="1" x14ac:dyDescent="0.25">
      <c r="A62" s="147">
        <v>5</v>
      </c>
      <c r="B62" s="84">
        <v>46220</v>
      </c>
      <c r="C62" s="99" t="s">
        <v>133</v>
      </c>
      <c r="D62" s="93" t="s">
        <v>390</v>
      </c>
      <c r="E62" s="83" t="s">
        <v>98</v>
      </c>
      <c r="F62" s="93" t="s">
        <v>400</v>
      </c>
      <c r="G62" s="99" t="s">
        <v>386</v>
      </c>
      <c r="H62" s="83" t="s">
        <v>93</v>
      </c>
      <c r="I62" s="83"/>
    </row>
    <row r="63" spans="1:9" ht="30" hidden="1" x14ac:dyDescent="0.25">
      <c r="A63" s="147">
        <v>6</v>
      </c>
      <c r="B63" s="84">
        <v>46220</v>
      </c>
      <c r="C63" s="99" t="s">
        <v>137</v>
      </c>
      <c r="D63" s="93" t="s">
        <v>138</v>
      </c>
      <c r="E63" s="83" t="s">
        <v>98</v>
      </c>
      <c r="F63" s="93" t="s">
        <v>404</v>
      </c>
      <c r="G63" s="99" t="s">
        <v>41</v>
      </c>
      <c r="H63" s="83" t="s">
        <v>64</v>
      </c>
      <c r="I63" s="84">
        <v>46186</v>
      </c>
    </row>
    <row r="64" spans="1:9" ht="45" hidden="1" x14ac:dyDescent="0.25">
      <c r="A64" s="147">
        <v>7</v>
      </c>
      <c r="B64" s="84">
        <v>46220</v>
      </c>
      <c r="C64" s="99" t="s">
        <v>152</v>
      </c>
      <c r="D64" s="93" t="s">
        <v>153</v>
      </c>
      <c r="E64" s="83" t="s">
        <v>98</v>
      </c>
      <c r="F64" s="93" t="s">
        <v>400</v>
      </c>
      <c r="G64" s="99" t="s">
        <v>73</v>
      </c>
      <c r="H64" s="83" t="s">
        <v>74</v>
      </c>
      <c r="I64" s="83"/>
    </row>
    <row r="65" spans="1:9" ht="30" hidden="1" x14ac:dyDescent="0.25">
      <c r="A65" s="147">
        <v>8</v>
      </c>
      <c r="B65" s="84">
        <v>46220</v>
      </c>
      <c r="C65" s="99" t="s">
        <v>137</v>
      </c>
      <c r="D65" s="93" t="s">
        <v>391</v>
      </c>
      <c r="E65" s="83" t="s">
        <v>98</v>
      </c>
      <c r="F65" s="93" t="s">
        <v>400</v>
      </c>
      <c r="G65" s="99" t="s">
        <v>42</v>
      </c>
      <c r="H65" s="83" t="s">
        <v>74</v>
      </c>
      <c r="I65" s="83"/>
    </row>
    <row r="66" spans="1:9" ht="165" hidden="1" x14ac:dyDescent="0.25">
      <c r="A66" s="147">
        <v>9</v>
      </c>
      <c r="B66" s="84">
        <v>46220</v>
      </c>
      <c r="C66" s="99" t="s">
        <v>171</v>
      </c>
      <c r="D66" s="93" t="s">
        <v>392</v>
      </c>
      <c r="E66" s="83" t="s">
        <v>98</v>
      </c>
      <c r="F66" s="93" t="s">
        <v>400</v>
      </c>
      <c r="G66" s="99" t="s">
        <v>116</v>
      </c>
      <c r="H66" s="83" t="s">
        <v>93</v>
      </c>
      <c r="I66" s="83"/>
    </row>
    <row r="67" spans="1:9" ht="60" hidden="1" x14ac:dyDescent="0.25">
      <c r="A67" s="147">
        <v>10</v>
      </c>
      <c r="B67" s="84">
        <v>46220</v>
      </c>
      <c r="C67" s="99" t="s">
        <v>176</v>
      </c>
      <c r="D67" s="93" t="s">
        <v>177</v>
      </c>
      <c r="E67" s="83" t="s">
        <v>114</v>
      </c>
      <c r="F67" s="93" t="s">
        <v>401</v>
      </c>
      <c r="G67" s="99" t="s">
        <v>42</v>
      </c>
      <c r="H67" s="83" t="s">
        <v>74</v>
      </c>
      <c r="I67" s="83"/>
    </row>
    <row r="68" spans="1:9" ht="90" hidden="1" x14ac:dyDescent="0.25">
      <c r="A68" s="147">
        <v>11</v>
      </c>
      <c r="B68" s="84">
        <v>46220</v>
      </c>
      <c r="C68" s="99" t="s">
        <v>166</v>
      </c>
      <c r="D68" s="93" t="s">
        <v>393</v>
      </c>
      <c r="E68" s="83" t="s">
        <v>154</v>
      </c>
      <c r="F68" s="93" t="s">
        <v>400</v>
      </c>
      <c r="G68" s="99" t="s">
        <v>388</v>
      </c>
      <c r="H68" s="83" t="s">
        <v>93</v>
      </c>
      <c r="I68" s="83"/>
    </row>
    <row r="69" spans="1:9" ht="75" hidden="1" x14ac:dyDescent="0.25">
      <c r="A69" s="147">
        <v>12</v>
      </c>
      <c r="B69" s="84">
        <v>46220</v>
      </c>
      <c r="C69" s="99" t="s">
        <v>394</v>
      </c>
      <c r="D69" s="93" t="s">
        <v>395</v>
      </c>
      <c r="E69" s="83" t="s">
        <v>168</v>
      </c>
      <c r="F69" s="93" t="s">
        <v>402</v>
      </c>
      <c r="G69" s="99" t="s">
        <v>384</v>
      </c>
      <c r="H69" s="83" t="s">
        <v>93</v>
      </c>
      <c r="I69" s="83"/>
    </row>
    <row r="70" spans="1:9" ht="60" hidden="1" x14ac:dyDescent="0.25">
      <c r="A70" s="147">
        <v>13</v>
      </c>
      <c r="B70" s="84">
        <v>46220</v>
      </c>
      <c r="C70" s="99" t="s">
        <v>258</v>
      </c>
      <c r="D70" s="93" t="s">
        <v>259</v>
      </c>
      <c r="E70" s="83" t="s">
        <v>178</v>
      </c>
      <c r="F70" s="93" t="s">
        <v>405</v>
      </c>
      <c r="G70" s="99" t="s">
        <v>383</v>
      </c>
      <c r="H70" s="83" t="s">
        <v>64</v>
      </c>
      <c r="I70" s="83"/>
    </row>
    <row r="71" spans="1:9" ht="105" hidden="1" x14ac:dyDescent="0.25">
      <c r="A71" s="147">
        <v>14</v>
      </c>
      <c r="B71" s="84">
        <v>46220</v>
      </c>
      <c r="C71" s="99" t="s">
        <v>147</v>
      </c>
      <c r="D71" s="93" t="s">
        <v>396</v>
      </c>
      <c r="E71" s="83" t="s">
        <v>168</v>
      </c>
      <c r="F71" s="93" t="s">
        <v>403</v>
      </c>
      <c r="G71" s="99" t="s">
        <v>388</v>
      </c>
      <c r="H71" s="83" t="s">
        <v>93</v>
      </c>
      <c r="I71" s="83"/>
    </row>
    <row r="72" spans="1:9" ht="60" x14ac:dyDescent="0.25">
      <c r="A72" s="147">
        <v>1</v>
      </c>
      <c r="B72" s="84">
        <v>46255</v>
      </c>
      <c r="C72" s="99" t="s">
        <v>68</v>
      </c>
      <c r="D72" s="93" t="s">
        <v>424</v>
      </c>
      <c r="E72" s="83" t="s">
        <v>70</v>
      </c>
      <c r="F72" s="93" t="s">
        <v>432</v>
      </c>
      <c r="G72" s="99" t="s">
        <v>43</v>
      </c>
      <c r="H72" s="83"/>
      <c r="I72" s="83"/>
    </row>
    <row r="73" spans="1:9" ht="105" x14ac:dyDescent="0.25">
      <c r="A73" s="147">
        <v>2</v>
      </c>
      <c r="B73" s="84">
        <v>46255</v>
      </c>
      <c r="C73" s="99" t="s">
        <v>425</v>
      </c>
      <c r="D73" s="93" t="s">
        <v>426</v>
      </c>
      <c r="E73" s="83" t="s">
        <v>89</v>
      </c>
      <c r="F73" s="93" t="s">
        <v>434</v>
      </c>
      <c r="G73" s="99" t="s">
        <v>44</v>
      </c>
      <c r="H73" s="83"/>
      <c r="I73" s="83"/>
    </row>
    <row r="74" spans="1:9" ht="102" customHeight="1" x14ac:dyDescent="0.25">
      <c r="A74" s="147">
        <v>3</v>
      </c>
      <c r="B74" s="84">
        <v>46255</v>
      </c>
      <c r="C74" s="99" t="s">
        <v>427</v>
      </c>
      <c r="D74" s="93" t="s">
        <v>428</v>
      </c>
      <c r="E74" s="83" t="s">
        <v>89</v>
      </c>
      <c r="F74" s="93" t="s">
        <v>433</v>
      </c>
      <c r="G74" s="99" t="s">
        <v>44</v>
      </c>
      <c r="H74" s="83"/>
      <c r="I74" s="83"/>
    </row>
    <row r="75" spans="1:9" ht="108" customHeight="1" x14ac:dyDescent="0.25">
      <c r="A75" s="147">
        <v>4</v>
      </c>
      <c r="B75" s="84">
        <v>46255</v>
      </c>
      <c r="C75" s="99" t="s">
        <v>429</v>
      </c>
      <c r="D75" s="93" t="s">
        <v>430</v>
      </c>
      <c r="E75" s="83" t="s">
        <v>89</v>
      </c>
      <c r="F75" s="295" t="s">
        <v>435</v>
      </c>
      <c r="G75" s="99" t="s">
        <v>44</v>
      </c>
      <c r="H75" s="83"/>
      <c r="I75" s="83"/>
    </row>
    <row r="76" spans="1:9" ht="90" x14ac:dyDescent="0.25">
      <c r="A76" s="147">
        <v>5</v>
      </c>
      <c r="B76" s="84">
        <v>46255</v>
      </c>
      <c r="C76" s="99" t="s">
        <v>431</v>
      </c>
      <c r="D76" s="93" t="s">
        <v>113</v>
      </c>
      <c r="E76" s="83" t="s">
        <v>114</v>
      </c>
      <c r="F76" s="93" t="s">
        <v>436</v>
      </c>
      <c r="G76" s="99" t="s">
        <v>44</v>
      </c>
      <c r="H76" s="83"/>
      <c r="I76" s="83"/>
    </row>
    <row r="77" spans="1:9" ht="60" x14ac:dyDescent="0.25">
      <c r="A77" s="147">
        <v>6</v>
      </c>
      <c r="B77" s="84">
        <v>46255</v>
      </c>
      <c r="C77" s="99" t="s">
        <v>118</v>
      </c>
      <c r="D77" s="93" t="s">
        <v>119</v>
      </c>
      <c r="E77" s="83" t="s">
        <v>114</v>
      </c>
      <c r="F77" s="93" t="s">
        <v>437</v>
      </c>
      <c r="G77" s="99" t="s">
        <v>44</v>
      </c>
      <c r="H77" s="83"/>
      <c r="I77" s="83"/>
    </row>
    <row r="78" spans="1:9" ht="60" x14ac:dyDescent="0.25">
      <c r="A78" s="147">
        <v>7</v>
      </c>
      <c r="B78" s="84">
        <v>46255</v>
      </c>
      <c r="C78" s="99" t="s">
        <v>176</v>
      </c>
      <c r="D78" s="93" t="s">
        <v>177</v>
      </c>
      <c r="E78" s="83" t="s">
        <v>114</v>
      </c>
      <c r="F78" s="93" t="s">
        <v>438</v>
      </c>
      <c r="G78" s="99" t="s">
        <v>43</v>
      </c>
      <c r="H78" s="83"/>
      <c r="I78" s="83"/>
    </row>
  </sheetData>
  <autoFilter ref="A2:I71" xr:uid="{4C0A7CD2-EB30-4914-9556-696D5AB890E1}"/>
  <mergeCells count="3">
    <mergeCell ref="F6:F7"/>
    <mergeCell ref="F10:F12"/>
    <mergeCell ref="A1:I1"/>
  </mergeCells>
  <conditionalFormatting sqref="H3:H32 H34:H1048576">
    <cfRule type="containsText" dxfId="2" priority="1" operator="containsText" text="Late">
      <formula>NOT(ISERROR(SEARCH("Late",H3)))</formula>
    </cfRule>
    <cfRule type="containsText" dxfId="1" priority="2" operator="containsText" text="On going">
      <formula>NOT(ISERROR(SEARCH("On going",H3)))</formula>
    </cfRule>
    <cfRule type="containsText" dxfId="0" priority="3" operator="containsText" text="Done">
      <formula>NOT(ISERROR(SEARCH("Done",H3)))</formula>
    </cfRule>
  </conditionalFormatting>
  <dataValidations count="1">
    <dataValidation type="list" allowBlank="1" showInputMessage="1" showErrorMessage="1" sqref="H4:H1048576" xr:uid="{D3E741FC-07DA-4B66-9C3B-019FA52B6172}">
      <formula1>"Done,On going,Late"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67FE-2526-469E-B893-4C24E89B6D85}">
  <dimension ref="A1:M27"/>
  <sheetViews>
    <sheetView showGridLines="0" zoomScale="160" zoomScaleNormal="160" workbookViewId="0">
      <pane xSplit="2" ySplit="4" topLeftCell="C15" activePane="bottomRight" state="frozen"/>
      <selection pane="topRight" activeCell="C1" sqref="C1"/>
      <selection pane="bottomLeft" activeCell="A5" sqref="A5"/>
      <selection pane="bottomRight" activeCell="P29" sqref="P29"/>
    </sheetView>
  </sheetViews>
  <sheetFormatPr defaultRowHeight="15" x14ac:dyDescent="0.25"/>
  <cols>
    <col min="1" max="1" width="12.28515625" bestFit="1" customWidth="1"/>
    <col min="2" max="2" width="5.7109375" customWidth="1"/>
    <col min="3" max="3" width="9.5703125" customWidth="1"/>
    <col min="4" max="4" width="10.42578125" bestFit="1" customWidth="1"/>
    <col min="5" max="5" width="10.42578125" customWidth="1"/>
    <col min="6" max="6" width="10.7109375" customWidth="1"/>
    <col min="7" max="7" width="11.140625" bestFit="1" customWidth="1"/>
    <col min="8" max="8" width="1" customWidth="1"/>
    <col min="9" max="9" width="6.5703125" style="6" bestFit="1" customWidth="1"/>
    <col min="10" max="10" width="8.28515625" style="6" customWidth="1"/>
    <col min="11" max="11" width="11.140625" style="6" bestFit="1" customWidth="1"/>
    <col min="12" max="12" width="8.42578125" style="6" customWidth="1"/>
    <col min="13" max="13" width="13.28515625" style="38" customWidth="1"/>
    <col min="14" max="14" width="0.7109375" customWidth="1"/>
  </cols>
  <sheetData>
    <row r="1" spans="1:13" ht="13.5" customHeight="1" x14ac:dyDescent="0.25">
      <c r="A1" s="51" t="s">
        <v>357</v>
      </c>
      <c r="B1" s="51" t="s">
        <v>358</v>
      </c>
      <c r="C1" s="52" t="s">
        <v>359</v>
      </c>
      <c r="D1" s="52" t="s">
        <v>360</v>
      </c>
      <c r="E1" s="53" t="s">
        <v>361</v>
      </c>
      <c r="F1" s="53" t="s">
        <v>360</v>
      </c>
      <c r="G1" s="137"/>
      <c r="H1" s="290"/>
      <c r="I1" s="282" t="s">
        <v>362</v>
      </c>
      <c r="J1" s="282"/>
      <c r="K1" s="282"/>
      <c r="L1" s="282"/>
      <c r="M1" s="282"/>
    </row>
    <row r="2" spans="1:13" ht="16.5" customHeight="1" x14ac:dyDescent="0.25">
      <c r="A2" s="54">
        <v>54</v>
      </c>
      <c r="B2" s="54">
        <v>28</v>
      </c>
      <c r="C2" s="55">
        <v>11</v>
      </c>
      <c r="D2" s="56" t="s">
        <v>363</v>
      </c>
      <c r="E2" s="57">
        <v>17</v>
      </c>
      <c r="F2" s="58" t="s">
        <v>364</v>
      </c>
      <c r="G2" s="138"/>
      <c r="H2" s="290"/>
      <c r="I2" s="283"/>
      <c r="J2" s="283"/>
      <c r="K2" s="283"/>
      <c r="L2" s="283"/>
      <c r="M2" s="283"/>
    </row>
    <row r="3" spans="1:13" x14ac:dyDescent="0.25">
      <c r="A3" s="284" t="s">
        <v>266</v>
      </c>
      <c r="B3" s="284" t="s">
        <v>365</v>
      </c>
      <c r="C3" s="284" t="s">
        <v>366</v>
      </c>
      <c r="D3" s="287" t="s">
        <v>367</v>
      </c>
      <c r="E3" s="288"/>
      <c r="F3" s="289"/>
      <c r="G3" s="139"/>
      <c r="H3" s="290"/>
      <c r="I3" s="280" t="s">
        <v>368</v>
      </c>
      <c r="J3" s="278" t="s">
        <v>357</v>
      </c>
      <c r="K3" s="275" t="s">
        <v>269</v>
      </c>
      <c r="L3" s="276"/>
      <c r="M3" s="277"/>
    </row>
    <row r="4" spans="1:13" x14ac:dyDescent="0.25">
      <c r="A4" s="285"/>
      <c r="B4" s="285"/>
      <c r="C4" s="286"/>
      <c r="D4" s="59" t="s">
        <v>369</v>
      </c>
      <c r="E4" s="59" t="s">
        <v>370</v>
      </c>
      <c r="F4" s="59" t="s">
        <v>360</v>
      </c>
      <c r="G4" s="59" t="s">
        <v>271</v>
      </c>
      <c r="H4" s="290"/>
      <c r="I4" s="281"/>
      <c r="J4" s="279"/>
      <c r="K4" s="100" t="s">
        <v>271</v>
      </c>
      <c r="L4" s="101" t="s">
        <v>74</v>
      </c>
      <c r="M4" s="114" t="s">
        <v>346</v>
      </c>
    </row>
    <row r="5" spans="1:13" x14ac:dyDescent="0.25">
      <c r="A5" s="286"/>
      <c r="B5" s="286"/>
      <c r="C5" s="59">
        <f>SUM(C6:C17)</f>
        <v>28</v>
      </c>
      <c r="D5" s="59">
        <f t="shared" ref="D5:F5" si="0">SUM(D6:D17)</f>
        <v>11</v>
      </c>
      <c r="E5" s="59">
        <f t="shared" si="0"/>
        <v>17</v>
      </c>
      <c r="F5" s="59">
        <f t="shared" si="0"/>
        <v>5</v>
      </c>
      <c r="G5" s="59">
        <f>SUM(G6:G17)</f>
        <v>8</v>
      </c>
      <c r="H5" s="290"/>
      <c r="I5" s="11" t="s">
        <v>36</v>
      </c>
      <c r="J5" s="76">
        <v>1</v>
      </c>
      <c r="K5" s="11">
        <v>1</v>
      </c>
      <c r="L5" s="11">
        <f>J5-K5</f>
        <v>0</v>
      </c>
      <c r="M5" s="77">
        <f>J5-K5-L5</f>
        <v>0</v>
      </c>
    </row>
    <row r="6" spans="1:13" ht="12" customHeight="1" x14ac:dyDescent="0.25">
      <c r="A6" s="11" t="s">
        <v>168</v>
      </c>
      <c r="B6" s="11" t="s">
        <v>261</v>
      </c>
      <c r="C6" s="11">
        <v>3</v>
      </c>
      <c r="D6" s="11">
        <v>0</v>
      </c>
      <c r="E6" s="11">
        <v>3</v>
      </c>
      <c r="F6" s="11">
        <v>0</v>
      </c>
      <c r="G6" s="11">
        <v>1</v>
      </c>
      <c r="H6" s="290"/>
      <c r="I6" s="11" t="s">
        <v>37</v>
      </c>
      <c r="J6" s="76">
        <v>0</v>
      </c>
      <c r="K6" s="11">
        <v>0</v>
      </c>
      <c r="L6" s="11">
        <f t="shared" ref="L6:L7" si="1">J6-K6</f>
        <v>0</v>
      </c>
      <c r="M6" s="77">
        <f t="shared" ref="M6:M16" si="2">J6-K6-L6</f>
        <v>0</v>
      </c>
    </row>
    <row r="7" spans="1:13" ht="12" customHeight="1" x14ac:dyDescent="0.25">
      <c r="A7" s="11" t="s">
        <v>186</v>
      </c>
      <c r="B7" s="11" t="s">
        <v>187</v>
      </c>
      <c r="C7" s="11">
        <v>1</v>
      </c>
      <c r="D7" s="11">
        <v>0</v>
      </c>
      <c r="E7" s="11">
        <v>1</v>
      </c>
      <c r="F7" s="11">
        <v>0</v>
      </c>
      <c r="G7" s="11"/>
      <c r="H7" s="290"/>
      <c r="I7" s="11" t="s">
        <v>38</v>
      </c>
      <c r="J7" s="11">
        <v>18</v>
      </c>
      <c r="K7" s="11">
        <v>10</v>
      </c>
      <c r="L7" s="11">
        <f t="shared" si="1"/>
        <v>8</v>
      </c>
      <c r="M7" s="77">
        <f t="shared" si="2"/>
        <v>0</v>
      </c>
    </row>
    <row r="8" spans="1:13" ht="12" customHeight="1" x14ac:dyDescent="0.25">
      <c r="A8" s="11" t="s">
        <v>212</v>
      </c>
      <c r="B8" s="11" t="s">
        <v>213</v>
      </c>
      <c r="C8" s="11">
        <v>1</v>
      </c>
      <c r="D8" s="11">
        <v>0</v>
      </c>
      <c r="E8" s="11">
        <v>1</v>
      </c>
      <c r="F8" s="11">
        <v>0</v>
      </c>
      <c r="G8" s="11"/>
      <c r="H8" s="290"/>
      <c r="I8" s="11" t="s">
        <v>39</v>
      </c>
      <c r="J8" s="11">
        <v>6</v>
      </c>
      <c r="K8" s="11">
        <v>1</v>
      </c>
      <c r="L8" s="11">
        <f>J8-K8</f>
        <v>5</v>
      </c>
      <c r="M8" s="77">
        <f t="shared" si="2"/>
        <v>0</v>
      </c>
    </row>
    <row r="9" spans="1:13" ht="12" customHeight="1" x14ac:dyDescent="0.25">
      <c r="A9" s="11" t="s">
        <v>178</v>
      </c>
      <c r="B9" s="11" t="s">
        <v>261</v>
      </c>
      <c r="C9" s="11">
        <v>1</v>
      </c>
      <c r="D9" s="11">
        <v>0</v>
      </c>
      <c r="E9" s="11">
        <v>1</v>
      </c>
      <c r="F9" s="11">
        <v>0</v>
      </c>
      <c r="G9" s="11"/>
      <c r="H9" s="290"/>
      <c r="I9" s="11" t="s">
        <v>40</v>
      </c>
      <c r="J9" s="11">
        <v>1</v>
      </c>
      <c r="K9" s="11">
        <v>1</v>
      </c>
      <c r="L9" s="11">
        <f>J9-K9</f>
        <v>0</v>
      </c>
      <c r="M9" s="77">
        <f t="shared" si="2"/>
        <v>0</v>
      </c>
    </row>
    <row r="10" spans="1:13" ht="12" customHeight="1" x14ac:dyDescent="0.25">
      <c r="A10" s="11" t="s">
        <v>114</v>
      </c>
      <c r="B10" s="11" t="s">
        <v>261</v>
      </c>
      <c r="C10" s="11">
        <v>2</v>
      </c>
      <c r="D10" s="11">
        <v>0</v>
      </c>
      <c r="E10" s="11">
        <v>2</v>
      </c>
      <c r="F10" s="11">
        <v>0</v>
      </c>
      <c r="G10" s="11"/>
      <c r="H10" s="290"/>
      <c r="I10" s="11" t="s">
        <v>41</v>
      </c>
      <c r="J10" s="11">
        <v>12</v>
      </c>
      <c r="K10" s="11">
        <v>5</v>
      </c>
      <c r="L10" s="11">
        <f>J10-K10</f>
        <v>7</v>
      </c>
      <c r="M10" s="77">
        <f t="shared" si="2"/>
        <v>0</v>
      </c>
    </row>
    <row r="11" spans="1:13" ht="12" customHeight="1" x14ac:dyDescent="0.25">
      <c r="A11" s="23" t="s">
        <v>59</v>
      </c>
      <c r="B11" s="11" t="s">
        <v>60</v>
      </c>
      <c r="C11" s="11">
        <v>2</v>
      </c>
      <c r="D11" s="11">
        <v>1</v>
      </c>
      <c r="E11" s="11">
        <v>1</v>
      </c>
      <c r="F11" s="11">
        <v>0</v>
      </c>
      <c r="G11" s="11">
        <v>1</v>
      </c>
      <c r="H11" s="290"/>
      <c r="I11" s="11" t="s">
        <v>42</v>
      </c>
      <c r="J11" s="11">
        <v>2</v>
      </c>
      <c r="K11" s="11">
        <v>0</v>
      </c>
      <c r="L11" s="11">
        <f>J11-K11</f>
        <v>2</v>
      </c>
      <c r="M11" s="77">
        <f t="shared" si="2"/>
        <v>0</v>
      </c>
    </row>
    <row r="12" spans="1:13" ht="12" customHeight="1" x14ac:dyDescent="0.25">
      <c r="A12" s="23" t="s">
        <v>70</v>
      </c>
      <c r="B12" s="11" t="s">
        <v>60</v>
      </c>
      <c r="C12" s="11">
        <v>2</v>
      </c>
      <c r="D12" s="11">
        <v>2</v>
      </c>
      <c r="E12" s="11">
        <v>0</v>
      </c>
      <c r="F12" s="60">
        <v>2</v>
      </c>
      <c r="G12" s="11">
        <v>1</v>
      </c>
      <c r="H12" s="290"/>
      <c r="I12" s="11" t="s">
        <v>43</v>
      </c>
      <c r="J12" s="11">
        <v>0</v>
      </c>
      <c r="K12" s="11"/>
      <c r="L12" s="11"/>
      <c r="M12" s="77">
        <f t="shared" si="2"/>
        <v>0</v>
      </c>
    </row>
    <row r="13" spans="1:13" ht="12" customHeight="1" x14ac:dyDescent="0.25">
      <c r="A13" s="23" t="s">
        <v>89</v>
      </c>
      <c r="B13" s="11" t="s">
        <v>60</v>
      </c>
      <c r="C13" s="11">
        <v>3</v>
      </c>
      <c r="D13" s="11">
        <v>3</v>
      </c>
      <c r="E13" s="11">
        <v>0</v>
      </c>
      <c r="F13" s="11">
        <v>0</v>
      </c>
      <c r="G13" s="11"/>
      <c r="H13" s="290"/>
      <c r="I13" s="11" t="s">
        <v>44</v>
      </c>
      <c r="J13" s="11">
        <v>3</v>
      </c>
      <c r="K13" s="11"/>
      <c r="L13" s="11"/>
      <c r="M13" s="77">
        <f t="shared" si="2"/>
        <v>3</v>
      </c>
    </row>
    <row r="14" spans="1:13" ht="12" customHeight="1" x14ac:dyDescent="0.25">
      <c r="A14" s="23" t="s">
        <v>61</v>
      </c>
      <c r="B14" s="11" t="s">
        <v>60</v>
      </c>
      <c r="C14" s="11">
        <v>1</v>
      </c>
      <c r="D14" s="11">
        <v>1</v>
      </c>
      <c r="E14" s="11">
        <v>0</v>
      </c>
      <c r="F14" s="60">
        <v>1</v>
      </c>
      <c r="G14" s="60">
        <v>1</v>
      </c>
      <c r="H14" s="290"/>
      <c r="I14" s="11" t="s">
        <v>45</v>
      </c>
      <c r="J14" s="11">
        <v>2</v>
      </c>
      <c r="K14" s="11"/>
      <c r="L14" s="11"/>
      <c r="M14" s="77">
        <f t="shared" si="2"/>
        <v>2</v>
      </c>
    </row>
    <row r="15" spans="1:13" ht="12" customHeight="1" x14ac:dyDescent="0.25">
      <c r="A15" s="23" t="s">
        <v>109</v>
      </c>
      <c r="B15" s="11" t="s">
        <v>60</v>
      </c>
      <c r="C15" s="11">
        <v>2</v>
      </c>
      <c r="D15" s="11">
        <v>1</v>
      </c>
      <c r="E15" s="11">
        <v>1</v>
      </c>
      <c r="F15" s="11">
        <v>0</v>
      </c>
      <c r="G15" s="11">
        <v>1</v>
      </c>
      <c r="H15" s="290"/>
      <c r="I15" s="11" t="s">
        <v>46</v>
      </c>
      <c r="J15" s="11">
        <v>0</v>
      </c>
      <c r="K15" s="11"/>
      <c r="L15" s="11"/>
      <c r="M15" s="77">
        <f t="shared" si="2"/>
        <v>0</v>
      </c>
    </row>
    <row r="16" spans="1:13" ht="12" customHeight="1" x14ac:dyDescent="0.25">
      <c r="A16" s="11" t="s">
        <v>80</v>
      </c>
      <c r="B16" s="11" t="s">
        <v>81</v>
      </c>
      <c r="C16" s="11">
        <v>3</v>
      </c>
      <c r="D16" s="11">
        <v>2</v>
      </c>
      <c r="E16" s="11">
        <v>1</v>
      </c>
      <c r="F16" s="60">
        <v>2</v>
      </c>
      <c r="G16" s="11">
        <v>2</v>
      </c>
      <c r="H16" s="290"/>
      <c r="I16" s="11" t="s">
        <v>47</v>
      </c>
      <c r="J16" s="11">
        <v>9</v>
      </c>
      <c r="K16" s="11"/>
      <c r="L16" s="11"/>
      <c r="M16" s="77">
        <f t="shared" si="2"/>
        <v>9</v>
      </c>
    </row>
    <row r="17" spans="1:13" ht="12" customHeight="1" x14ac:dyDescent="0.25">
      <c r="A17" s="11" t="s">
        <v>98</v>
      </c>
      <c r="B17" s="11" t="s">
        <v>261</v>
      </c>
      <c r="C17" s="11">
        <v>7</v>
      </c>
      <c r="D17" s="11">
        <v>1</v>
      </c>
      <c r="E17" s="11">
        <v>6</v>
      </c>
      <c r="F17" s="11">
        <v>0</v>
      </c>
      <c r="G17" s="11">
        <v>1</v>
      </c>
      <c r="H17" s="290"/>
      <c r="I17" s="115" t="s">
        <v>371</v>
      </c>
      <c r="J17" s="115">
        <f>SUM(J5:J16)</f>
        <v>54</v>
      </c>
      <c r="K17" s="100">
        <f t="shared" ref="K17:M17" si="3">SUM(K5:K16)</f>
        <v>18</v>
      </c>
      <c r="L17" s="101">
        <f t="shared" si="3"/>
        <v>22</v>
      </c>
      <c r="M17" s="102">
        <f t="shared" si="3"/>
        <v>14</v>
      </c>
    </row>
    <row r="18" spans="1:13" ht="4.5" customHeight="1" thickBot="1" x14ac:dyDescent="0.3">
      <c r="A18" s="123"/>
      <c r="B18" s="123"/>
      <c r="C18" s="123"/>
      <c r="D18" s="123"/>
      <c r="E18" s="123"/>
      <c r="F18" s="123"/>
      <c r="G18" s="123"/>
      <c r="H18" s="123"/>
    </row>
    <row r="19" spans="1:13" ht="30" x14ac:dyDescent="0.25">
      <c r="A19" s="273" t="s">
        <v>372</v>
      </c>
      <c r="B19" s="274"/>
      <c r="C19" s="162" t="s">
        <v>373</v>
      </c>
      <c r="D19" s="163" t="s">
        <v>271</v>
      </c>
      <c r="E19" s="163" t="s">
        <v>346</v>
      </c>
      <c r="F19" s="161" t="s">
        <v>374</v>
      </c>
    </row>
    <row r="20" spans="1:13" ht="12.75" customHeight="1" x14ac:dyDescent="0.25">
      <c r="A20" s="269" t="s">
        <v>375</v>
      </c>
      <c r="B20" s="270"/>
      <c r="C20" s="46">
        <v>9</v>
      </c>
      <c r="D20" s="11">
        <v>4</v>
      </c>
      <c r="E20" s="11">
        <f>C20-D20</f>
        <v>5</v>
      </c>
      <c r="F20" s="154">
        <f>D20/C20</f>
        <v>0.44444444444444442</v>
      </c>
    </row>
    <row r="21" spans="1:13" ht="12.75" customHeight="1" x14ac:dyDescent="0.25">
      <c r="A21" s="269" t="s">
        <v>376</v>
      </c>
      <c r="B21" s="270"/>
      <c r="C21" s="46">
        <v>21</v>
      </c>
      <c r="D21" s="11">
        <v>9</v>
      </c>
      <c r="E21" s="11">
        <f t="shared" ref="E21:E26" si="4">C21-D21</f>
        <v>12</v>
      </c>
      <c r="F21" s="154">
        <f t="shared" ref="F21:F27" si="5">D21/C21</f>
        <v>0.42857142857142855</v>
      </c>
    </row>
    <row r="22" spans="1:13" ht="12.75" customHeight="1" x14ac:dyDescent="0.25">
      <c r="A22" s="269" t="s">
        <v>377</v>
      </c>
      <c r="B22" s="270"/>
      <c r="C22" s="46">
        <v>3</v>
      </c>
      <c r="D22" s="11">
        <v>0</v>
      </c>
      <c r="E22" s="11">
        <f t="shared" si="4"/>
        <v>3</v>
      </c>
      <c r="F22" s="154">
        <f t="shared" si="5"/>
        <v>0</v>
      </c>
    </row>
    <row r="23" spans="1:13" ht="12.75" customHeight="1" x14ac:dyDescent="0.25">
      <c r="A23" s="269" t="s">
        <v>378</v>
      </c>
      <c r="B23" s="270"/>
      <c r="C23" s="46">
        <v>4</v>
      </c>
      <c r="D23" s="11">
        <v>0</v>
      </c>
      <c r="E23" s="11">
        <f t="shared" si="4"/>
        <v>4</v>
      </c>
      <c r="F23" s="154">
        <f t="shared" si="5"/>
        <v>0</v>
      </c>
    </row>
    <row r="24" spans="1:13" ht="12.75" customHeight="1" x14ac:dyDescent="0.25">
      <c r="A24" s="269" t="s">
        <v>379</v>
      </c>
      <c r="B24" s="270"/>
      <c r="C24" s="46">
        <v>2</v>
      </c>
      <c r="D24" s="11">
        <v>2</v>
      </c>
      <c r="E24" s="11">
        <f t="shared" si="4"/>
        <v>0</v>
      </c>
      <c r="F24" s="154">
        <f t="shared" si="5"/>
        <v>1</v>
      </c>
    </row>
    <row r="25" spans="1:13" ht="12.75" customHeight="1" x14ac:dyDescent="0.25">
      <c r="A25" s="269" t="s">
        <v>380</v>
      </c>
      <c r="B25" s="270"/>
      <c r="C25" s="46">
        <v>6</v>
      </c>
      <c r="D25" s="11">
        <v>2</v>
      </c>
      <c r="E25" s="11">
        <f t="shared" si="4"/>
        <v>4</v>
      </c>
      <c r="F25" s="154">
        <f t="shared" si="5"/>
        <v>0.33333333333333331</v>
      </c>
    </row>
    <row r="26" spans="1:13" ht="12.75" customHeight="1" thickBot="1" x14ac:dyDescent="0.3">
      <c r="A26" s="271" t="s">
        <v>381</v>
      </c>
      <c r="B26" s="272"/>
      <c r="C26" s="157">
        <v>9</v>
      </c>
      <c r="D26" s="155">
        <v>1</v>
      </c>
      <c r="E26" s="155">
        <f t="shared" si="4"/>
        <v>8</v>
      </c>
      <c r="F26" s="156">
        <f t="shared" si="5"/>
        <v>0.1111111111111111</v>
      </c>
    </row>
    <row r="27" spans="1:13" ht="12.75" customHeight="1" thickBot="1" x14ac:dyDescent="0.3">
      <c r="C27" s="158">
        <f>SUM(C20:C26)</f>
        <v>54</v>
      </c>
      <c r="D27" s="159">
        <f t="shared" ref="D27:E27" si="6">SUM(D20:D26)</f>
        <v>18</v>
      </c>
      <c r="E27" s="159">
        <f t="shared" si="6"/>
        <v>36</v>
      </c>
      <c r="F27" s="160">
        <f t="shared" si="5"/>
        <v>0.33333333333333331</v>
      </c>
    </row>
  </sheetData>
  <mergeCells count="17">
    <mergeCell ref="K3:M3"/>
    <mergeCell ref="J3:J4"/>
    <mergeCell ref="I3:I4"/>
    <mergeCell ref="I1:M2"/>
    <mergeCell ref="A3:A5"/>
    <mergeCell ref="B3:B5"/>
    <mergeCell ref="C3:C4"/>
    <mergeCell ref="D3:F3"/>
    <mergeCell ref="H1:H17"/>
    <mergeCell ref="A25:B25"/>
    <mergeCell ref="A26:B26"/>
    <mergeCell ref="A19:B19"/>
    <mergeCell ref="A20:B20"/>
    <mergeCell ref="A21:B21"/>
    <mergeCell ref="A22:B22"/>
    <mergeCell ref="A23:B23"/>
    <mergeCell ref="A24:B24"/>
  </mergeCells>
  <phoneticPr fontId="7"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A6EC7-F1C2-4990-9AB8-BE97E136A8BF}">
  <dimension ref="A1:P16"/>
  <sheetViews>
    <sheetView workbookViewId="0">
      <selection activeCell="J19" sqref="J19"/>
    </sheetView>
  </sheetViews>
  <sheetFormatPr defaultRowHeight="15" x14ac:dyDescent="0.25"/>
  <cols>
    <col min="1" max="1" width="12.42578125" style="6" customWidth="1"/>
    <col min="2" max="2" width="15.7109375" style="6" bestFit="1" customWidth="1"/>
    <col min="3" max="3" width="13.5703125" style="6" customWidth="1"/>
    <col min="4" max="4" width="18.140625" style="6" customWidth="1"/>
    <col min="5" max="5" width="13.7109375" style="6" customWidth="1"/>
    <col min="6" max="7" width="12.42578125" style="6" customWidth="1"/>
    <col min="8" max="8" width="16.42578125" bestFit="1" customWidth="1"/>
    <col min="10" max="10" width="13.140625" bestFit="1" customWidth="1"/>
    <col min="11" max="11" width="16.42578125" bestFit="1" customWidth="1"/>
    <col min="12" max="12" width="8.5703125" bestFit="1" customWidth="1"/>
    <col min="13" max="13" width="13.140625" bestFit="1" customWidth="1"/>
    <col min="14" max="14" width="16.42578125" bestFit="1" customWidth="1"/>
    <col min="15" max="15" width="8.5703125" bestFit="1" customWidth="1"/>
    <col min="16" max="16" width="13.140625" bestFit="1" customWidth="1"/>
  </cols>
  <sheetData>
    <row r="1" spans="1:16" ht="24.75" thickBot="1" x14ac:dyDescent="0.3">
      <c r="A1" s="234" t="s">
        <v>414</v>
      </c>
      <c r="B1" s="235"/>
      <c r="C1" s="235"/>
      <c r="D1" s="235"/>
      <c r="E1" s="235"/>
      <c r="F1" s="235"/>
      <c r="G1" s="235"/>
      <c r="H1" s="235"/>
      <c r="I1" s="235"/>
      <c r="J1" s="235"/>
      <c r="K1" s="235"/>
      <c r="L1" s="235"/>
      <c r="M1" s="235"/>
      <c r="N1" s="235"/>
      <c r="O1" s="235"/>
      <c r="P1" s="236"/>
    </row>
    <row r="2" spans="1:16" ht="18.75" x14ac:dyDescent="0.25">
      <c r="A2" s="200" t="s">
        <v>368</v>
      </c>
      <c r="B2" s="202" t="s">
        <v>406</v>
      </c>
      <c r="C2" s="228" t="s">
        <v>415</v>
      </c>
      <c r="D2" s="228" t="s">
        <v>416</v>
      </c>
      <c r="E2" s="230" t="s">
        <v>271</v>
      </c>
      <c r="F2" s="230" t="s">
        <v>74</v>
      </c>
      <c r="G2" s="232" t="s">
        <v>407</v>
      </c>
      <c r="H2" s="209" t="s">
        <v>411</v>
      </c>
      <c r="I2" s="210"/>
      <c r="J2" s="211"/>
      <c r="K2" s="255" t="s">
        <v>412</v>
      </c>
      <c r="L2" s="256"/>
      <c r="M2" s="257"/>
      <c r="N2" s="237" t="s">
        <v>413</v>
      </c>
      <c r="O2" s="237"/>
      <c r="P2" s="238"/>
    </row>
    <row r="3" spans="1:16" ht="19.5" thickBot="1" x14ac:dyDescent="0.3">
      <c r="A3" s="201"/>
      <c r="B3" s="203"/>
      <c r="C3" s="229"/>
      <c r="D3" s="229"/>
      <c r="E3" s="231"/>
      <c r="F3" s="231"/>
      <c r="G3" s="233"/>
      <c r="H3" s="175" t="s">
        <v>408</v>
      </c>
      <c r="I3" s="171" t="s">
        <v>409</v>
      </c>
      <c r="J3" s="176" t="s">
        <v>410</v>
      </c>
      <c r="K3" s="178" t="s">
        <v>408</v>
      </c>
      <c r="L3" s="172" t="s">
        <v>409</v>
      </c>
      <c r="M3" s="179" t="s">
        <v>410</v>
      </c>
      <c r="N3" s="177" t="s">
        <v>408</v>
      </c>
      <c r="O3" s="173" t="s">
        <v>409</v>
      </c>
      <c r="P3" s="174" t="s">
        <v>410</v>
      </c>
    </row>
    <row r="4" spans="1:16" ht="18.75" x14ac:dyDescent="0.25">
      <c r="A4" s="187" t="s">
        <v>36</v>
      </c>
      <c r="B4" s="188">
        <v>1</v>
      </c>
      <c r="C4" s="189">
        <v>1</v>
      </c>
      <c r="D4" s="225">
        <f>IFERROR(SUM(C4:C6)/SUM(B4:B6),0)</f>
        <v>0.36842105263157893</v>
      </c>
      <c r="E4" s="189">
        <v>1</v>
      </c>
      <c r="F4" s="189">
        <f>B4-E4-G4</f>
        <v>0</v>
      </c>
      <c r="G4" s="190">
        <f>B4-E4</f>
        <v>0</v>
      </c>
      <c r="H4" s="204">
        <f>SUM(E4:E6)/SUM(B4:B6)</f>
        <v>0.57894736842105265</v>
      </c>
      <c r="I4" s="212">
        <f>SUM(F4:F6)/SUM(B4:B6)</f>
        <v>0.42105263157894735</v>
      </c>
      <c r="J4" s="220">
        <f>SUM(G4:G6)/SUM(B4:B6)</f>
        <v>0</v>
      </c>
      <c r="K4" s="258">
        <f>SUM(E4:E9)/SUM(B4:B9)</f>
        <v>0.47368421052631576</v>
      </c>
      <c r="L4" s="259">
        <f>SUM(F4:F9)/SUM(B4:B9)</f>
        <v>0.52631578947368418</v>
      </c>
      <c r="M4" s="260">
        <f>SUM(G4:G9)/SUM(B4:B9)</f>
        <v>0</v>
      </c>
      <c r="N4" s="239">
        <f>E16/B16</f>
        <v>0.33333333333333331</v>
      </c>
      <c r="O4" s="242">
        <f>F16/B16</f>
        <v>0.40740740740740738</v>
      </c>
      <c r="P4" s="245">
        <f>G16/B16</f>
        <v>0.25925925925925924</v>
      </c>
    </row>
    <row r="5" spans="1:16" ht="18.75" x14ac:dyDescent="0.25">
      <c r="A5" s="181" t="s">
        <v>37</v>
      </c>
      <c r="B5" s="184">
        <v>0</v>
      </c>
      <c r="C5" s="164">
        <v>0</v>
      </c>
      <c r="D5" s="226"/>
      <c r="E5" s="164">
        <v>0</v>
      </c>
      <c r="F5" s="164">
        <f t="shared" ref="F5:F10" si="0">B5-E5</f>
        <v>0</v>
      </c>
      <c r="G5" s="185">
        <f t="shared" ref="G5:G10" si="1">B5-E5-F5</f>
        <v>0</v>
      </c>
      <c r="H5" s="205"/>
      <c r="I5" s="213"/>
      <c r="J5" s="221"/>
      <c r="K5" s="249"/>
      <c r="L5" s="251"/>
      <c r="M5" s="253"/>
      <c r="N5" s="240"/>
      <c r="O5" s="243"/>
      <c r="P5" s="246"/>
    </row>
    <row r="6" spans="1:16" ht="19.5" thickBot="1" x14ac:dyDescent="0.3">
      <c r="A6" s="182" t="s">
        <v>38</v>
      </c>
      <c r="B6" s="167">
        <v>18</v>
      </c>
      <c r="C6" s="168">
        <v>6</v>
      </c>
      <c r="D6" s="227"/>
      <c r="E6" s="168">
        <v>10</v>
      </c>
      <c r="F6" s="168">
        <f t="shared" si="0"/>
        <v>8</v>
      </c>
      <c r="G6" s="186">
        <f t="shared" si="1"/>
        <v>0</v>
      </c>
      <c r="H6" s="206"/>
      <c r="I6" s="214"/>
      <c r="J6" s="222"/>
      <c r="K6" s="249"/>
      <c r="L6" s="251"/>
      <c r="M6" s="253"/>
      <c r="N6" s="240"/>
      <c r="O6" s="243"/>
      <c r="P6" s="246"/>
    </row>
    <row r="7" spans="1:16" ht="18.75" x14ac:dyDescent="0.25">
      <c r="A7" s="180" t="s">
        <v>39</v>
      </c>
      <c r="B7" s="169">
        <v>6</v>
      </c>
      <c r="C7" s="170">
        <v>2</v>
      </c>
      <c r="D7" s="225">
        <f t="shared" ref="D7" si="2">IFERROR(SUM(C7:C9)/SUM(B7:B9),0)</f>
        <v>0.36842105263157893</v>
      </c>
      <c r="E7" s="170">
        <v>1</v>
      </c>
      <c r="F7" s="170">
        <f t="shared" si="0"/>
        <v>5</v>
      </c>
      <c r="G7" s="183">
        <f t="shared" si="1"/>
        <v>0</v>
      </c>
      <c r="H7" s="207">
        <f t="shared" ref="H7" si="3">SUM(E7:E9)/SUM(B7:B9)</f>
        <v>0.36842105263157893</v>
      </c>
      <c r="I7" s="215">
        <f t="shared" ref="I7" si="4">SUM(F7:F9)/SUM(B7:B9)</f>
        <v>0.63157894736842102</v>
      </c>
      <c r="J7" s="223">
        <f t="shared" ref="J7" si="5">SUM(G7:G9)/SUM(B7:B9)</f>
        <v>0</v>
      </c>
      <c r="K7" s="249"/>
      <c r="L7" s="251"/>
      <c r="M7" s="253"/>
      <c r="N7" s="240"/>
      <c r="O7" s="243"/>
      <c r="P7" s="246"/>
    </row>
    <row r="8" spans="1:16" ht="18.75" x14ac:dyDescent="0.25">
      <c r="A8" s="181" t="s">
        <v>40</v>
      </c>
      <c r="B8" s="166">
        <v>1</v>
      </c>
      <c r="C8" s="164">
        <v>0</v>
      </c>
      <c r="D8" s="226"/>
      <c r="E8" s="164">
        <v>1</v>
      </c>
      <c r="F8" s="164">
        <f t="shared" si="0"/>
        <v>0</v>
      </c>
      <c r="G8" s="185">
        <f t="shared" si="1"/>
        <v>0</v>
      </c>
      <c r="H8" s="205"/>
      <c r="I8" s="213"/>
      <c r="J8" s="221"/>
      <c r="K8" s="249"/>
      <c r="L8" s="251"/>
      <c r="M8" s="253"/>
      <c r="N8" s="240"/>
      <c r="O8" s="243"/>
      <c r="P8" s="246"/>
    </row>
    <row r="9" spans="1:16" ht="19.5" thickBot="1" x14ac:dyDescent="0.3">
      <c r="A9" s="192" t="s">
        <v>41</v>
      </c>
      <c r="B9" s="193">
        <v>12</v>
      </c>
      <c r="C9" s="194">
        <v>5</v>
      </c>
      <c r="D9" s="227"/>
      <c r="E9" s="194">
        <v>5</v>
      </c>
      <c r="F9" s="194">
        <f t="shared" si="0"/>
        <v>7</v>
      </c>
      <c r="G9" s="195">
        <f t="shared" si="1"/>
        <v>0</v>
      </c>
      <c r="H9" s="208"/>
      <c r="I9" s="216"/>
      <c r="J9" s="224"/>
      <c r="K9" s="250"/>
      <c r="L9" s="252"/>
      <c r="M9" s="254"/>
      <c r="N9" s="240"/>
      <c r="O9" s="243"/>
      <c r="P9" s="246"/>
    </row>
    <row r="10" spans="1:16" ht="18.75" x14ac:dyDescent="0.25">
      <c r="A10" s="187" t="s">
        <v>42</v>
      </c>
      <c r="B10" s="191">
        <v>2</v>
      </c>
      <c r="C10" s="189">
        <v>0</v>
      </c>
      <c r="D10" s="225">
        <f t="shared" ref="D10" si="6">IFERROR(SUM(C10:C12)/SUM(B10:B12),0)</f>
        <v>0</v>
      </c>
      <c r="E10" s="189">
        <v>0</v>
      </c>
      <c r="F10" s="189">
        <f t="shared" si="0"/>
        <v>2</v>
      </c>
      <c r="G10" s="190">
        <f t="shared" si="1"/>
        <v>0</v>
      </c>
      <c r="H10" s="204">
        <f t="shared" ref="H10" si="7">SUM(E10:E12)/SUM(B10:B12)</f>
        <v>0</v>
      </c>
      <c r="I10" s="217">
        <f t="shared" ref="I10" si="8">SUM(F10:F12)/SUM(B10:B12)</f>
        <v>0.4</v>
      </c>
      <c r="J10" s="220">
        <f t="shared" ref="J10" si="9">SUM(G10:G12)/SUM(B10:B12)</f>
        <v>0.6</v>
      </c>
      <c r="K10" s="248">
        <f>SUM(E10:E15)/SUM(B10:B15)</f>
        <v>0</v>
      </c>
      <c r="L10" s="251">
        <f>SUM(F10:F15)/SUM(B10:B15)</f>
        <v>0.125</v>
      </c>
      <c r="M10" s="253">
        <f>SUM(G10:G15)/SUM(B10:B15)</f>
        <v>0.875</v>
      </c>
      <c r="N10" s="240"/>
      <c r="O10" s="243"/>
      <c r="P10" s="246"/>
    </row>
    <row r="11" spans="1:16" ht="18.75" x14ac:dyDescent="0.25">
      <c r="A11" s="181" t="s">
        <v>43</v>
      </c>
      <c r="B11" s="166">
        <v>0</v>
      </c>
      <c r="C11" s="164"/>
      <c r="D11" s="226"/>
      <c r="E11" s="164"/>
      <c r="F11" s="164">
        <f t="shared" ref="F11:F15" si="10">B11-E11-G11</f>
        <v>0</v>
      </c>
      <c r="G11" s="185">
        <f t="shared" ref="G11:G15" si="11">B11-E11</f>
        <v>0</v>
      </c>
      <c r="H11" s="205"/>
      <c r="I11" s="218"/>
      <c r="J11" s="221"/>
      <c r="K11" s="248"/>
      <c r="L11" s="251"/>
      <c r="M11" s="253"/>
      <c r="N11" s="240"/>
      <c r="O11" s="243"/>
      <c r="P11" s="246"/>
    </row>
    <row r="12" spans="1:16" ht="19.5" thickBot="1" x14ac:dyDescent="0.3">
      <c r="A12" s="182" t="s">
        <v>44</v>
      </c>
      <c r="B12" s="167">
        <v>3</v>
      </c>
      <c r="C12" s="168"/>
      <c r="D12" s="227"/>
      <c r="E12" s="168"/>
      <c r="F12" s="168">
        <f t="shared" si="10"/>
        <v>0</v>
      </c>
      <c r="G12" s="186">
        <f t="shared" si="11"/>
        <v>3</v>
      </c>
      <c r="H12" s="206"/>
      <c r="I12" s="219"/>
      <c r="J12" s="222"/>
      <c r="K12" s="248"/>
      <c r="L12" s="251"/>
      <c r="M12" s="253"/>
      <c r="N12" s="240"/>
      <c r="O12" s="243"/>
      <c r="P12" s="246"/>
    </row>
    <row r="13" spans="1:16" ht="18.75" x14ac:dyDescent="0.25">
      <c r="A13" s="180" t="s">
        <v>45</v>
      </c>
      <c r="B13" s="169">
        <v>2</v>
      </c>
      <c r="C13" s="170"/>
      <c r="D13" s="225">
        <f t="shared" ref="D13" si="12">IFERROR(SUM(C13:C15)/SUM(B13:B15),0)</f>
        <v>0</v>
      </c>
      <c r="E13" s="170"/>
      <c r="F13" s="170">
        <f t="shared" si="10"/>
        <v>0</v>
      </c>
      <c r="G13" s="183">
        <f t="shared" si="11"/>
        <v>2</v>
      </c>
      <c r="H13" s="207">
        <f t="shared" ref="H13" si="13">SUM(E13:E15)/SUM(B13:B15)</f>
        <v>0</v>
      </c>
      <c r="I13" s="215">
        <f t="shared" ref="I13" si="14">SUM(F13:F15)/SUM(B13:B15)</f>
        <v>0</v>
      </c>
      <c r="J13" s="223">
        <f t="shared" ref="J13" si="15">SUM(G13:G15)/SUM(B13:B15)</f>
        <v>1</v>
      </c>
      <c r="K13" s="249"/>
      <c r="L13" s="251"/>
      <c r="M13" s="253"/>
      <c r="N13" s="240"/>
      <c r="O13" s="243"/>
      <c r="P13" s="246"/>
    </row>
    <row r="14" spans="1:16" ht="18.75" x14ac:dyDescent="0.25">
      <c r="A14" s="181" t="s">
        <v>46</v>
      </c>
      <c r="B14" s="166">
        <v>0</v>
      </c>
      <c r="C14" s="164"/>
      <c r="D14" s="226"/>
      <c r="E14" s="164"/>
      <c r="F14" s="164">
        <f t="shared" si="10"/>
        <v>0</v>
      </c>
      <c r="G14" s="185">
        <f t="shared" si="11"/>
        <v>0</v>
      </c>
      <c r="H14" s="205"/>
      <c r="I14" s="213"/>
      <c r="J14" s="221"/>
      <c r="K14" s="249"/>
      <c r="L14" s="251"/>
      <c r="M14" s="253"/>
      <c r="N14" s="240"/>
      <c r="O14" s="243"/>
      <c r="P14" s="246"/>
    </row>
    <row r="15" spans="1:16" ht="19.5" thickBot="1" x14ac:dyDescent="0.3">
      <c r="A15" s="182" t="s">
        <v>47</v>
      </c>
      <c r="B15" s="167">
        <v>9</v>
      </c>
      <c r="C15" s="168"/>
      <c r="D15" s="227"/>
      <c r="E15" s="168"/>
      <c r="F15" s="168">
        <f t="shared" si="10"/>
        <v>0</v>
      </c>
      <c r="G15" s="186">
        <f t="shared" si="11"/>
        <v>9</v>
      </c>
      <c r="H15" s="206"/>
      <c r="I15" s="214"/>
      <c r="J15" s="222"/>
      <c r="K15" s="250"/>
      <c r="L15" s="252"/>
      <c r="M15" s="254"/>
      <c r="N15" s="241"/>
      <c r="O15" s="244"/>
      <c r="P15" s="247"/>
    </row>
    <row r="16" spans="1:16" ht="19.5" thickBot="1" x14ac:dyDescent="0.3">
      <c r="A16" s="165"/>
      <c r="B16" s="196">
        <f>SUM(B4:B15)</f>
        <v>54</v>
      </c>
      <c r="C16" s="197">
        <f t="shared" ref="C16:G16" si="16">SUM(C4:C15)</f>
        <v>14</v>
      </c>
      <c r="D16" s="198">
        <f>C16/B16</f>
        <v>0.25925925925925924</v>
      </c>
      <c r="E16" s="197">
        <f t="shared" si="16"/>
        <v>18</v>
      </c>
      <c r="F16" s="197">
        <f t="shared" si="16"/>
        <v>22</v>
      </c>
      <c r="G16" s="199">
        <f t="shared" si="16"/>
        <v>14</v>
      </c>
    </row>
  </sheetData>
  <mergeCells count="36">
    <mergeCell ref="A1:P1"/>
    <mergeCell ref="D2:D3"/>
    <mergeCell ref="D4:D6"/>
    <mergeCell ref="D7:D9"/>
    <mergeCell ref="D10:D12"/>
    <mergeCell ref="N2:P2"/>
    <mergeCell ref="N4:N15"/>
    <mergeCell ref="O4:O15"/>
    <mergeCell ref="P4:P15"/>
    <mergeCell ref="K10:K15"/>
    <mergeCell ref="L10:L15"/>
    <mergeCell ref="M10:M15"/>
    <mergeCell ref="K2:M2"/>
    <mergeCell ref="K4:K9"/>
    <mergeCell ref="L4:L9"/>
    <mergeCell ref="M4:M9"/>
    <mergeCell ref="D13:D15"/>
    <mergeCell ref="C2:C3"/>
    <mergeCell ref="E2:E3"/>
    <mergeCell ref="F2:F3"/>
    <mergeCell ref="G2:G3"/>
    <mergeCell ref="H13:H15"/>
    <mergeCell ref="H2:J2"/>
    <mergeCell ref="I4:I6"/>
    <mergeCell ref="I7:I9"/>
    <mergeCell ref="I10:I12"/>
    <mergeCell ref="I13:I15"/>
    <mergeCell ref="J4:J6"/>
    <mergeCell ref="J7:J9"/>
    <mergeCell ref="J10:J12"/>
    <mergeCell ref="J13:J15"/>
    <mergeCell ref="A2:A3"/>
    <mergeCell ref="B2:B3"/>
    <mergeCell ref="H4:H6"/>
    <mergeCell ref="H7:H9"/>
    <mergeCell ref="H10:H12"/>
  </mergeCells>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2311ec-2236-4417-80a3-0718e2989483" xsi:nil="true"/>
    <lcf76f155ced4ddcb4097134ff3c332f xmlns="bb3c7c3d-86bf-49d3-97e8-bca28b69f0d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9B3A2BB7FFAA4690FEA1188C6E3FC8" ma:contentTypeVersion="16" ma:contentTypeDescription="Create a new document." ma:contentTypeScope="" ma:versionID="a6ee695ba0813db4f8703ce04bdb76c7">
  <xsd:schema xmlns:xsd="http://www.w3.org/2001/XMLSchema" xmlns:xs="http://www.w3.org/2001/XMLSchema" xmlns:p="http://schemas.microsoft.com/office/2006/metadata/properties" xmlns:ns2="db2311ec-2236-4417-80a3-0718e2989483" xmlns:ns3="bb3c7c3d-86bf-49d3-97e8-bca28b69f0d1" targetNamespace="http://schemas.microsoft.com/office/2006/metadata/properties" ma:root="true" ma:fieldsID="3b97042c5bbc2d23ab786020e0728511" ns2:_="" ns3:_="">
    <xsd:import namespace="db2311ec-2236-4417-80a3-0718e2989483"/>
    <xsd:import namespace="bb3c7c3d-86bf-49d3-97e8-bca28b69f0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311ec-2236-4417-80a3-0718e298948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526b0bf-8e77-4dc4-8679-0bd1e0a17ce6}" ma:internalName="TaxCatchAll" ma:showField="CatchAllData" ma:web="db2311ec-2236-4417-80a3-0718e298948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b3c7c3d-86bf-49d3-97e8-bca28b69f0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7bed9a1-9473-4d6e-a3f4-90e425b7c11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96A349-E045-4A8F-8254-6F0078CF5064}">
  <ds:schemaRefs>
    <ds:schemaRef ds:uri="http://schemas.microsoft.com/office/2006/metadata/properties"/>
    <ds:schemaRef ds:uri="http://schemas.microsoft.com/office/infopath/2007/PartnerControls"/>
    <ds:schemaRef ds:uri="db2311ec-2236-4417-80a3-0718e2989483"/>
    <ds:schemaRef ds:uri="bb3c7c3d-86bf-49d3-97e8-bca28b69f0d1"/>
  </ds:schemaRefs>
</ds:datastoreItem>
</file>

<file path=customXml/itemProps2.xml><?xml version="1.0" encoding="utf-8"?>
<ds:datastoreItem xmlns:ds="http://schemas.openxmlformats.org/officeDocument/2006/customXml" ds:itemID="{52E94429-E807-4D94-A41B-D35843A11AFA}">
  <ds:schemaRefs>
    <ds:schemaRef ds:uri="http://schemas.microsoft.com/sharepoint/v3/contenttype/forms"/>
  </ds:schemaRefs>
</ds:datastoreItem>
</file>

<file path=customXml/itemProps3.xml><?xml version="1.0" encoding="utf-8"?>
<ds:datastoreItem xmlns:ds="http://schemas.openxmlformats.org/officeDocument/2006/customXml" ds:itemID="{075BAE5A-EB8A-4D71-8F7B-933CEC444F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311ec-2236-4417-80a3-0718e2989483"/>
    <ds:schemaRef ds:uri="bb3c7c3d-86bf-49d3-97e8-bca28b69f0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Agenda Sharing</vt:lpstr>
      <vt:lpstr>Factory Project </vt:lpstr>
      <vt:lpstr>MoM</vt:lpstr>
      <vt:lpstr>Summary</vt:lpstr>
      <vt:lpstr>Sheet1</vt:lpstr>
      <vt:lpstr>'Factory Project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Duy Pham</dc:creator>
  <cp:keywords/>
  <dc:description/>
  <cp:lastModifiedBy>Duy Pham</cp:lastModifiedBy>
  <cp:revision/>
  <dcterms:created xsi:type="dcterms:W3CDTF">2026-01-24T04:36:17Z</dcterms:created>
  <dcterms:modified xsi:type="dcterms:W3CDTF">2026-08-21T08:53:01Z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0x010100519B3A2BB7FFAA4690FEA1188C6E3FC8</vt:lpwstr>
  </property>
  <property fmtid="{D5CDD505-2E9C-101B-9397-08002B2CF9AE}" pid="3" name="MediaServiceImageTags">
    <vt:lpwstr/>
  </property>
</Properties>
</file>